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r597/Documents/PhD/projects/hmsc-danishbirds/data/"/>
    </mc:Choice>
  </mc:AlternateContent>
  <xr:revisionPtr revIDLastSave="0" documentId="8_{6DF15964-BC9D-A84D-985E-CC3FAD5DC2DC}" xr6:coauthVersionLast="47" xr6:coauthVersionMax="47" xr10:uidLastSave="{00000000-0000-0000-0000-000000000000}"/>
  <bookViews>
    <workbookView xWindow="700" yWindow="760" windowWidth="29540" windowHeight="17820" activeTab="1" xr2:uid="{0978E254-0241-384A-8752-F99CA5CCCD90}"/>
  </bookViews>
  <sheets>
    <sheet name="birdTraits-merged" sheetId="1" r:id="rId1"/>
    <sheet name="print" sheetId="4" r:id="rId2"/>
    <sheet name="Sheet1" sheetId="3" r:id="rId3"/>
    <sheet name="birdTraits-migration" sheetId="2" r:id="rId4"/>
  </sheets>
  <definedNames>
    <definedName name="_xlnm._FilterDatabase" localSheetId="0" hidden="1">'birdTraits-merged'!$I$1:$I$229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0" i="1" l="1"/>
  <c r="AE44" i="1"/>
  <c r="AE56" i="1"/>
  <c r="AE68" i="1"/>
  <c r="AE74" i="1"/>
  <c r="AE146" i="1"/>
  <c r="AE150" i="1"/>
  <c r="AE212" i="1"/>
  <c r="AE222" i="1"/>
  <c r="AE2" i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/>
  <c r="M9" i="1" a="1"/>
  <c r="M9" i="1"/>
  <c r="M10" i="1" a="1"/>
  <c r="M10" i="1" s="1"/>
  <c r="M11" i="1" a="1"/>
  <c r="M11" i="1" s="1"/>
  <c r="M12" i="1" a="1"/>
  <c r="M12" i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/>
  <c r="M20" i="1" a="1"/>
  <c r="M20" i="1" s="1"/>
  <c r="M21" i="1" a="1"/>
  <c r="M21" i="1"/>
  <c r="M22" i="1" a="1"/>
  <c r="M22" i="1" s="1"/>
  <c r="M23" i="1" a="1"/>
  <c r="M23" i="1" s="1"/>
  <c r="M24" i="1" a="1"/>
  <c r="M24" i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/>
  <c r="M33" i="1" a="1"/>
  <c r="M33" i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/>
  <c r="M75" i="1" a="1"/>
  <c r="M75" i="1" s="1"/>
  <c r="M76" i="1" a="1"/>
  <c r="M76" i="1" s="1"/>
  <c r="M77" i="1" a="1"/>
  <c r="M77" i="1" s="1"/>
  <c r="M78" i="1" a="1"/>
  <c r="M78" i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/>
  <c r="M93" i="1" a="1"/>
  <c r="M93" i="1" s="1"/>
  <c r="M94" i="1" a="1"/>
  <c r="M94" i="1" s="1"/>
  <c r="M95" i="1" a="1"/>
  <c r="M95" i="1" s="1"/>
  <c r="M96" i="1" a="1"/>
  <c r="M96" i="1"/>
  <c r="M97" i="1" a="1"/>
  <c r="M97" i="1" s="1"/>
  <c r="M98" i="1" a="1"/>
  <c r="M98" i="1"/>
  <c r="M99" i="1" a="1"/>
  <c r="M99" i="1" s="1"/>
  <c r="M100" i="1" a="1"/>
  <c r="M100" i="1" s="1"/>
  <c r="M101" i="1" a="1"/>
  <c r="M101" i="1" s="1"/>
  <c r="M102" i="1" a="1"/>
  <c r="M102" i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/>
  <c r="M123" i="1" a="1"/>
  <c r="M123" i="1" s="1"/>
  <c r="M124" i="1" a="1"/>
  <c r="M124" i="1" s="1"/>
  <c r="M125" i="1" a="1"/>
  <c r="M125" i="1" s="1"/>
  <c r="M126" i="1" a="1"/>
  <c r="M126" i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/>
  <c r="M141" i="1" a="1"/>
  <c r="M141" i="1" s="1"/>
  <c r="M142" i="1" a="1"/>
  <c r="M142" i="1" s="1"/>
  <c r="M143" i="1" a="1"/>
  <c r="M143" i="1" s="1"/>
  <c r="M144" i="1" a="1"/>
  <c r="M144" i="1"/>
  <c r="M145" i="1" a="1"/>
  <c r="M145" i="1" s="1"/>
  <c r="M146" i="1" a="1"/>
  <c r="M146" i="1"/>
  <c r="M147" i="1" a="1"/>
  <c r="M147" i="1" s="1"/>
  <c r="M148" i="1" a="1"/>
  <c r="M148" i="1" s="1"/>
  <c r="M149" i="1" a="1"/>
  <c r="M149" i="1" s="1"/>
  <c r="M150" i="1" a="1"/>
  <c r="M150" i="1"/>
  <c r="M151" i="1" a="1"/>
  <c r="M151" i="1" s="1"/>
  <c r="M152" i="1" a="1"/>
  <c r="M152" i="1" s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/>
  <c r="M171" i="1" a="1"/>
  <c r="M171" i="1" s="1"/>
  <c r="M172" i="1" a="1"/>
  <c r="M172" i="1" s="1"/>
  <c r="M173" i="1" a="1"/>
  <c r="M173" i="1" s="1"/>
  <c r="M174" i="1" a="1"/>
  <c r="M174" i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/>
  <c r="M189" i="1" a="1"/>
  <c r="M189" i="1" s="1"/>
  <c r="M190" i="1" a="1"/>
  <c r="M190" i="1" s="1"/>
  <c r="M191" i="1" a="1"/>
  <c r="M191" i="1" s="1"/>
  <c r="M192" i="1" a="1"/>
  <c r="M192" i="1"/>
  <c r="M193" i="1" a="1"/>
  <c r="M193" i="1" s="1"/>
  <c r="M194" i="1" a="1"/>
  <c r="M194" i="1"/>
  <c r="M195" i="1" a="1"/>
  <c r="M195" i="1" s="1"/>
  <c r="M196" i="1" a="1"/>
  <c r="M196" i="1" s="1"/>
  <c r="M197" i="1" a="1"/>
  <c r="M197" i="1" s="1"/>
  <c r="M198" i="1" a="1"/>
  <c r="M198" i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/>
  <c r="M219" i="1" a="1"/>
  <c r="M219" i="1" s="1"/>
  <c r="M220" i="1" a="1"/>
  <c r="M220" i="1" s="1"/>
  <c r="M221" i="1" a="1"/>
  <c r="M221" i="1" s="1"/>
  <c r="M222" i="1" a="1"/>
  <c r="M222" i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" i="1" a="1"/>
  <c r="M2" i="1" s="1"/>
  <c r="V82" i="1"/>
  <c r="AE82" i="1" s="1"/>
  <c r="V106" i="1"/>
  <c r="AE106" i="1" s="1"/>
  <c r="V143" i="1"/>
  <c r="AE143" i="1" s="1"/>
  <c r="V167" i="1"/>
  <c r="AE167" i="1" s="1"/>
  <c r="V211" i="1"/>
  <c r="AE211" i="1" s="1"/>
  <c r="V221" i="1"/>
  <c r="AE221" i="1" s="1"/>
  <c r="U217" i="1"/>
  <c r="V217" i="1" s="1"/>
  <c r="AE217" i="1" s="1"/>
  <c r="U218" i="1"/>
  <c r="V218" i="1" s="1"/>
  <c r="AE218" i="1" s="1"/>
  <c r="U216" i="1"/>
  <c r="V216" i="1" s="1"/>
  <c r="AE216" i="1" s="1"/>
  <c r="U219" i="1"/>
  <c r="V219" i="1" s="1"/>
  <c r="AE219" i="1" s="1"/>
  <c r="U221" i="1"/>
  <c r="U229" i="1"/>
  <c r="V229" i="1" s="1"/>
  <c r="AE229" i="1" s="1"/>
  <c r="U208" i="1"/>
  <c r="V208" i="1" s="1"/>
  <c r="AE208" i="1" s="1"/>
  <c r="U206" i="1"/>
  <c r="V206" i="1" s="1"/>
  <c r="AE206" i="1" s="1"/>
  <c r="U207" i="1"/>
  <c r="V207" i="1" s="1"/>
  <c r="AE207" i="1" s="1"/>
  <c r="U83" i="1"/>
  <c r="V83" i="1" s="1"/>
  <c r="AE83" i="1" s="1"/>
  <c r="U82" i="1"/>
  <c r="U209" i="1"/>
  <c r="V209" i="1" s="1"/>
  <c r="AE209" i="1" s="1"/>
  <c r="U28" i="1"/>
  <c r="V28" i="1" s="1"/>
  <c r="AE28" i="1" s="1"/>
  <c r="U27" i="1"/>
  <c r="V27" i="1" s="1"/>
  <c r="AE27" i="1" s="1"/>
  <c r="U18" i="1"/>
  <c r="V18" i="1" s="1"/>
  <c r="AE18" i="1" s="1"/>
  <c r="U19" i="1"/>
  <c r="V19" i="1" s="1"/>
  <c r="AE19" i="1" s="1"/>
  <c r="U23" i="1"/>
  <c r="V23" i="1" s="1"/>
  <c r="AE23" i="1" s="1"/>
  <c r="U24" i="1"/>
  <c r="V24" i="1" s="1"/>
  <c r="AE24" i="1" s="1"/>
  <c r="U14" i="1"/>
  <c r="V14" i="1" s="1"/>
  <c r="AE14" i="1" s="1"/>
  <c r="U38" i="1"/>
  <c r="V38" i="1" s="1"/>
  <c r="AE38" i="1" s="1"/>
  <c r="U39" i="1"/>
  <c r="V39" i="1" s="1"/>
  <c r="AE39" i="1" s="1"/>
  <c r="U13" i="1"/>
  <c r="V13" i="1" s="1"/>
  <c r="AE13" i="1" s="1"/>
  <c r="U29" i="1"/>
  <c r="V29" i="1" s="1"/>
  <c r="AE29" i="1" s="1"/>
  <c r="U30" i="1"/>
  <c r="V30" i="1" s="1"/>
  <c r="U16" i="1"/>
  <c r="V16" i="1" s="1"/>
  <c r="AE16" i="1" s="1"/>
  <c r="U17" i="1"/>
  <c r="V17" i="1" s="1"/>
  <c r="AE17" i="1" s="1"/>
  <c r="U15" i="1"/>
  <c r="V15" i="1" s="1"/>
  <c r="AE15" i="1" s="1"/>
  <c r="U37" i="1"/>
  <c r="V37" i="1" s="1"/>
  <c r="AE37" i="1" s="1"/>
  <c r="U36" i="1"/>
  <c r="V36" i="1" s="1"/>
  <c r="AE36" i="1" s="1"/>
  <c r="U34" i="1"/>
  <c r="V34" i="1" s="1"/>
  <c r="AE34" i="1" s="1"/>
  <c r="U20" i="1"/>
  <c r="V20" i="1" s="1"/>
  <c r="AE20" i="1" s="1"/>
  <c r="U21" i="1"/>
  <c r="V21" i="1" s="1"/>
  <c r="AE21" i="1" s="1"/>
  <c r="U22" i="1"/>
  <c r="V22" i="1" s="1"/>
  <c r="AE22" i="1" s="1"/>
  <c r="U35" i="1"/>
  <c r="V35" i="1" s="1"/>
  <c r="AE35" i="1" s="1"/>
  <c r="U26" i="1"/>
  <c r="V26" i="1" s="1"/>
  <c r="AE26" i="1" s="1"/>
  <c r="U25" i="1"/>
  <c r="V25" i="1" s="1"/>
  <c r="AE25" i="1" s="1"/>
  <c r="U31" i="1"/>
  <c r="V31" i="1" s="1"/>
  <c r="AE31" i="1" s="1"/>
  <c r="U33" i="1"/>
  <c r="V33" i="1" s="1"/>
  <c r="AE33" i="1" s="1"/>
  <c r="U32" i="1"/>
  <c r="V32" i="1" s="1"/>
  <c r="AE32" i="1" s="1"/>
  <c r="U12" i="1"/>
  <c r="V12" i="1" s="1"/>
  <c r="AE12" i="1" s="1"/>
  <c r="U10" i="1"/>
  <c r="V10" i="1" s="1"/>
  <c r="AE10" i="1" s="1"/>
  <c r="U9" i="1"/>
  <c r="V9" i="1" s="1"/>
  <c r="AE9" i="1" s="1"/>
  <c r="U6" i="1"/>
  <c r="V6" i="1" s="1"/>
  <c r="AE6" i="1" s="1"/>
  <c r="U7" i="1"/>
  <c r="V7" i="1" s="1"/>
  <c r="AE7" i="1" s="1"/>
  <c r="U8" i="1"/>
  <c r="V8" i="1" s="1"/>
  <c r="AE8" i="1" s="1"/>
  <c r="U4" i="1"/>
  <c r="V4" i="1" s="1"/>
  <c r="AE4" i="1" s="1"/>
  <c r="U2" i="1"/>
  <c r="V2" i="1" s="1"/>
  <c r="U5" i="1"/>
  <c r="V5" i="1" s="1"/>
  <c r="AE5" i="1" s="1"/>
  <c r="U3" i="1"/>
  <c r="V3" i="1" s="1"/>
  <c r="AE3" i="1" s="1"/>
  <c r="U11" i="1"/>
  <c r="V11" i="1" s="1"/>
  <c r="AE11" i="1" s="1"/>
  <c r="U94" i="1"/>
  <c r="V94" i="1" s="1"/>
  <c r="AE94" i="1" s="1"/>
  <c r="U93" i="1"/>
  <c r="V93" i="1" s="1"/>
  <c r="AE93" i="1" s="1"/>
  <c r="U92" i="1"/>
  <c r="V92" i="1" s="1"/>
  <c r="AE92" i="1" s="1"/>
  <c r="U96" i="1"/>
  <c r="V96" i="1" s="1"/>
  <c r="AE96" i="1" s="1"/>
  <c r="U97" i="1"/>
  <c r="V97" i="1" s="1"/>
  <c r="AE97" i="1" s="1"/>
  <c r="U95" i="1"/>
  <c r="V95" i="1" s="1"/>
  <c r="AE95" i="1" s="1"/>
  <c r="U98" i="1"/>
  <c r="V98" i="1" s="1"/>
  <c r="AE98" i="1" s="1"/>
  <c r="U104" i="1"/>
  <c r="V104" i="1" s="1"/>
  <c r="AE104" i="1" s="1"/>
  <c r="U103" i="1"/>
  <c r="V103" i="1" s="1"/>
  <c r="AE103" i="1" s="1"/>
  <c r="U99" i="1"/>
  <c r="V99" i="1" s="1"/>
  <c r="AE99" i="1" s="1"/>
  <c r="U101" i="1"/>
  <c r="V101" i="1" s="1"/>
  <c r="AE101" i="1" s="1"/>
  <c r="U100" i="1"/>
  <c r="V100" i="1" s="1"/>
  <c r="AE100" i="1" s="1"/>
  <c r="U102" i="1"/>
  <c r="V102" i="1" s="1"/>
  <c r="AE102" i="1" s="1"/>
  <c r="U57" i="1"/>
  <c r="V57" i="1" s="1"/>
  <c r="AE57" i="1" s="1"/>
  <c r="U58" i="1"/>
  <c r="V58" i="1" s="1"/>
  <c r="AE58" i="1" s="1"/>
  <c r="U70" i="1"/>
  <c r="V70" i="1" s="1"/>
  <c r="AE70" i="1" s="1"/>
  <c r="U50" i="1"/>
  <c r="V50" i="1" s="1"/>
  <c r="AE50" i="1" s="1"/>
  <c r="U51" i="1"/>
  <c r="V51" i="1" s="1"/>
  <c r="AE51" i="1" s="1"/>
  <c r="U45" i="1"/>
  <c r="V45" i="1" s="1"/>
  <c r="AE45" i="1" s="1"/>
  <c r="U69" i="1"/>
  <c r="V69" i="1" s="1"/>
  <c r="AE69" i="1" s="1"/>
  <c r="U81" i="1"/>
  <c r="V81" i="1" s="1"/>
  <c r="AE81" i="1" s="1"/>
  <c r="U47" i="1"/>
  <c r="V47" i="1" s="1"/>
  <c r="AE47" i="1" s="1"/>
  <c r="U48" i="1"/>
  <c r="V48" i="1" s="1"/>
  <c r="AE48" i="1" s="1"/>
  <c r="U67" i="1"/>
  <c r="V67" i="1" s="1"/>
  <c r="AE67" i="1" s="1"/>
  <c r="U55" i="1"/>
  <c r="V55" i="1" s="1"/>
  <c r="AE55" i="1" s="1"/>
  <c r="U72" i="1"/>
  <c r="V72" i="1" s="1"/>
  <c r="AE72" i="1" s="1"/>
  <c r="U66" i="1"/>
  <c r="V66" i="1" s="1"/>
  <c r="AE66" i="1" s="1"/>
  <c r="U68" i="1"/>
  <c r="V68" i="1" s="1"/>
  <c r="U79" i="1"/>
  <c r="V79" i="1" s="1"/>
  <c r="AE79" i="1" s="1"/>
  <c r="U78" i="1"/>
  <c r="V78" i="1" s="1"/>
  <c r="AE78" i="1" s="1"/>
  <c r="U77" i="1"/>
  <c r="V77" i="1" s="1"/>
  <c r="AE77" i="1" s="1"/>
  <c r="U43" i="1"/>
  <c r="V43" i="1" s="1"/>
  <c r="AE43" i="1" s="1"/>
  <c r="U46" i="1"/>
  <c r="V46" i="1" s="1"/>
  <c r="AE46" i="1" s="1"/>
  <c r="U61" i="1"/>
  <c r="V61" i="1" s="1"/>
  <c r="AE61" i="1" s="1"/>
  <c r="U59" i="1"/>
  <c r="V59" i="1" s="1"/>
  <c r="AE59" i="1" s="1"/>
  <c r="U54" i="1"/>
  <c r="V54" i="1" s="1"/>
  <c r="AE54" i="1" s="1"/>
  <c r="U63" i="1"/>
  <c r="V63" i="1" s="1"/>
  <c r="AE63" i="1" s="1"/>
  <c r="U64" i="1"/>
  <c r="V64" i="1" s="1"/>
  <c r="AE64" i="1" s="1"/>
  <c r="U62" i="1"/>
  <c r="V62" i="1" s="1"/>
  <c r="AE62" i="1" s="1"/>
  <c r="U65" i="1"/>
  <c r="V65" i="1" s="1"/>
  <c r="AE65" i="1" s="1"/>
  <c r="U71" i="1"/>
  <c r="V71" i="1" s="1"/>
  <c r="AE71" i="1" s="1"/>
  <c r="U56" i="1"/>
  <c r="V56" i="1" s="1"/>
  <c r="U60" i="1"/>
  <c r="V60" i="1" s="1"/>
  <c r="AE60" i="1" s="1"/>
  <c r="U76" i="1"/>
  <c r="V76" i="1" s="1"/>
  <c r="AE76" i="1" s="1"/>
  <c r="U73" i="1"/>
  <c r="V73" i="1" s="1"/>
  <c r="AE73" i="1" s="1"/>
  <c r="U74" i="1"/>
  <c r="V74" i="1" s="1"/>
  <c r="U75" i="1"/>
  <c r="V75" i="1" s="1"/>
  <c r="AE75" i="1" s="1"/>
  <c r="U53" i="1"/>
  <c r="V53" i="1" s="1"/>
  <c r="AE53" i="1" s="1"/>
  <c r="U52" i="1"/>
  <c r="V52" i="1" s="1"/>
  <c r="AE52" i="1" s="1"/>
  <c r="U80" i="1"/>
  <c r="V80" i="1" s="1"/>
  <c r="AE80" i="1" s="1"/>
  <c r="U44" i="1"/>
  <c r="V44" i="1" s="1"/>
  <c r="U49" i="1"/>
  <c r="V49" i="1" s="1"/>
  <c r="AE49" i="1" s="1"/>
  <c r="U84" i="1"/>
  <c r="V84" i="1" s="1"/>
  <c r="AE84" i="1" s="1"/>
  <c r="U85" i="1"/>
  <c r="V85" i="1" s="1"/>
  <c r="AE85" i="1" s="1"/>
  <c r="U86" i="1"/>
  <c r="V86" i="1" s="1"/>
  <c r="AE86" i="1" s="1"/>
  <c r="U87" i="1"/>
  <c r="V87" i="1" s="1"/>
  <c r="AE87" i="1" s="1"/>
  <c r="U88" i="1"/>
  <c r="V88" i="1" s="1"/>
  <c r="AE88" i="1" s="1"/>
  <c r="U91" i="1"/>
  <c r="V91" i="1" s="1"/>
  <c r="AE91" i="1" s="1"/>
  <c r="U228" i="1"/>
  <c r="V228" i="1" s="1"/>
  <c r="AE228" i="1" s="1"/>
  <c r="U226" i="1"/>
  <c r="V226" i="1" s="1"/>
  <c r="AE226" i="1" s="1"/>
  <c r="U225" i="1"/>
  <c r="V225" i="1" s="1"/>
  <c r="AE225" i="1" s="1"/>
  <c r="U227" i="1"/>
  <c r="V227" i="1" s="1"/>
  <c r="AE227" i="1" s="1"/>
  <c r="U224" i="1"/>
  <c r="V224" i="1" s="1"/>
  <c r="AE224" i="1" s="1"/>
  <c r="U223" i="1"/>
  <c r="V223" i="1" s="1"/>
  <c r="AE223" i="1" s="1"/>
  <c r="U222" i="1"/>
  <c r="V222" i="1" s="1"/>
  <c r="U42" i="1"/>
  <c r="V42" i="1" s="1"/>
  <c r="AE42" i="1" s="1"/>
  <c r="U41" i="1"/>
  <c r="V41" i="1" s="1"/>
  <c r="AE41" i="1" s="1"/>
  <c r="U89" i="1"/>
  <c r="V89" i="1" s="1"/>
  <c r="AE89" i="1" s="1"/>
  <c r="U90" i="1"/>
  <c r="V90" i="1" s="1"/>
  <c r="AE90" i="1" s="1"/>
  <c r="U40" i="1"/>
  <c r="V40" i="1" s="1"/>
  <c r="AE40" i="1" s="1"/>
  <c r="U214" i="1"/>
  <c r="V214" i="1" s="1"/>
  <c r="AE214" i="1" s="1"/>
  <c r="U215" i="1"/>
  <c r="V215" i="1" s="1"/>
  <c r="AE215" i="1" s="1"/>
  <c r="U213" i="1"/>
  <c r="V213" i="1" s="1"/>
  <c r="AE213" i="1" s="1"/>
  <c r="U210" i="1"/>
  <c r="V210" i="1" s="1"/>
  <c r="AE210" i="1" s="1"/>
  <c r="U211" i="1"/>
  <c r="U212" i="1"/>
  <c r="V212" i="1" s="1"/>
  <c r="U144" i="1"/>
  <c r="V144" i="1" s="1"/>
  <c r="AE144" i="1" s="1"/>
  <c r="U158" i="1"/>
  <c r="V158" i="1" s="1"/>
  <c r="AE158" i="1" s="1"/>
  <c r="U112" i="1"/>
  <c r="V112" i="1" s="1"/>
  <c r="AE112" i="1" s="1"/>
  <c r="U190" i="1"/>
  <c r="V190" i="1" s="1"/>
  <c r="AE190" i="1" s="1"/>
  <c r="U147" i="1"/>
  <c r="V147" i="1" s="1"/>
  <c r="AE147" i="1" s="1"/>
  <c r="U133" i="1"/>
  <c r="V133" i="1" s="1"/>
  <c r="AE133" i="1" s="1"/>
  <c r="U113" i="1"/>
  <c r="V113" i="1" s="1"/>
  <c r="AE113" i="1" s="1"/>
  <c r="U116" i="1"/>
  <c r="V116" i="1" s="1"/>
  <c r="AE116" i="1" s="1"/>
  <c r="U115" i="1"/>
  <c r="V115" i="1" s="1"/>
  <c r="AE115" i="1" s="1"/>
  <c r="U114" i="1"/>
  <c r="V114" i="1" s="1"/>
  <c r="AE114" i="1" s="1"/>
  <c r="U165" i="1"/>
  <c r="V165" i="1" s="1"/>
  <c r="AE165" i="1" s="1"/>
  <c r="U166" i="1"/>
  <c r="V166" i="1" s="1"/>
  <c r="AE166" i="1" s="1"/>
  <c r="U164" i="1"/>
  <c r="V164" i="1" s="1"/>
  <c r="AE164" i="1" s="1"/>
  <c r="U162" i="1"/>
  <c r="V162" i="1" s="1"/>
  <c r="AE162" i="1" s="1"/>
  <c r="U163" i="1"/>
  <c r="V163" i="1" s="1"/>
  <c r="AE163" i="1" s="1"/>
  <c r="U122" i="1"/>
  <c r="V122" i="1" s="1"/>
  <c r="AE122" i="1" s="1"/>
  <c r="U199" i="1"/>
  <c r="V199" i="1" s="1"/>
  <c r="AE199" i="1" s="1"/>
  <c r="U185" i="1"/>
  <c r="V185" i="1" s="1"/>
  <c r="AE185" i="1" s="1"/>
  <c r="U138" i="1"/>
  <c r="V138" i="1" s="1"/>
  <c r="AE138" i="1" s="1"/>
  <c r="U159" i="1"/>
  <c r="V159" i="1" s="1"/>
  <c r="AE159" i="1" s="1"/>
  <c r="U160" i="1"/>
  <c r="V160" i="1" s="1"/>
  <c r="AE160" i="1" s="1"/>
  <c r="U161" i="1"/>
  <c r="V161" i="1" s="1"/>
  <c r="AE161" i="1" s="1"/>
  <c r="U176" i="1"/>
  <c r="V176" i="1" s="1"/>
  <c r="AE176" i="1" s="1"/>
  <c r="U177" i="1"/>
  <c r="V177" i="1" s="1"/>
  <c r="AE177" i="1" s="1"/>
  <c r="U191" i="1"/>
  <c r="V191" i="1" s="1"/>
  <c r="AE191" i="1" s="1"/>
  <c r="U192" i="1"/>
  <c r="V192" i="1" s="1"/>
  <c r="AE192" i="1" s="1"/>
  <c r="U169" i="1"/>
  <c r="V169" i="1" s="1"/>
  <c r="AE169" i="1" s="1"/>
  <c r="U204" i="1"/>
  <c r="V204" i="1" s="1"/>
  <c r="AE204" i="1" s="1"/>
  <c r="U201" i="1"/>
  <c r="V201" i="1" s="1"/>
  <c r="AE201" i="1" s="1"/>
  <c r="U203" i="1"/>
  <c r="V203" i="1" s="1"/>
  <c r="AE203" i="1" s="1"/>
  <c r="U202" i="1"/>
  <c r="V202" i="1" s="1"/>
  <c r="AE202" i="1" s="1"/>
  <c r="U200" i="1"/>
  <c r="V200" i="1" s="1"/>
  <c r="AE200" i="1" s="1"/>
  <c r="U205" i="1"/>
  <c r="V205" i="1" s="1"/>
  <c r="AE205" i="1" s="1"/>
  <c r="U153" i="1"/>
  <c r="V153" i="1" s="1"/>
  <c r="AE153" i="1" s="1"/>
  <c r="U151" i="1"/>
  <c r="V151" i="1" s="1"/>
  <c r="AE151" i="1" s="1"/>
  <c r="U152" i="1"/>
  <c r="V152" i="1" s="1"/>
  <c r="AE152" i="1" s="1"/>
  <c r="U109" i="1"/>
  <c r="V109" i="1" s="1"/>
  <c r="AE109" i="1" s="1"/>
  <c r="U107" i="1"/>
  <c r="V107" i="1" s="1"/>
  <c r="AE107" i="1" s="1"/>
  <c r="U108" i="1"/>
  <c r="V108" i="1" s="1"/>
  <c r="AE108" i="1" s="1"/>
  <c r="U110" i="1"/>
  <c r="V110" i="1" s="1"/>
  <c r="AE110" i="1" s="1"/>
  <c r="U106" i="1"/>
  <c r="U146" i="1"/>
  <c r="V146" i="1" s="1"/>
  <c r="U131" i="1"/>
  <c r="V131" i="1" s="1"/>
  <c r="AE131" i="1" s="1"/>
  <c r="U130" i="1"/>
  <c r="V130" i="1" s="1"/>
  <c r="AE130" i="1" s="1"/>
  <c r="U129" i="1"/>
  <c r="V129" i="1" s="1"/>
  <c r="AE129" i="1" s="1"/>
  <c r="U198" i="1"/>
  <c r="V198" i="1" s="1"/>
  <c r="AE198" i="1" s="1"/>
  <c r="U197" i="1"/>
  <c r="V197" i="1" s="1"/>
  <c r="AE197" i="1" s="1"/>
  <c r="U180" i="1"/>
  <c r="V180" i="1" s="1"/>
  <c r="AE180" i="1" s="1"/>
  <c r="U179" i="1"/>
  <c r="V179" i="1" s="1"/>
  <c r="AE179" i="1" s="1"/>
  <c r="U178" i="1"/>
  <c r="V178" i="1" s="1"/>
  <c r="AE178" i="1" s="1"/>
  <c r="U181" i="1"/>
  <c r="V181" i="1" s="1"/>
  <c r="AE181" i="1" s="1"/>
  <c r="U188" i="1"/>
  <c r="V188" i="1" s="1"/>
  <c r="AE188" i="1" s="1"/>
  <c r="U187" i="1"/>
  <c r="V187" i="1" s="1"/>
  <c r="AE187" i="1" s="1"/>
  <c r="U167" i="1"/>
  <c r="U141" i="1"/>
  <c r="V141" i="1" s="1"/>
  <c r="AE141" i="1" s="1"/>
  <c r="U139" i="1"/>
  <c r="V139" i="1" s="1"/>
  <c r="AE139" i="1" s="1"/>
  <c r="U140" i="1"/>
  <c r="V140" i="1" s="1"/>
  <c r="AE140" i="1" s="1"/>
  <c r="U171" i="1"/>
  <c r="V171" i="1" s="1"/>
  <c r="AE171" i="1" s="1"/>
  <c r="U111" i="1"/>
  <c r="V111" i="1" s="1"/>
  <c r="AE111" i="1" s="1"/>
  <c r="U184" i="1"/>
  <c r="V184" i="1" s="1"/>
  <c r="AE184" i="1" s="1"/>
  <c r="U183" i="1"/>
  <c r="V183" i="1" s="1"/>
  <c r="AE183" i="1" s="1"/>
  <c r="U154" i="1"/>
  <c r="V154" i="1" s="1"/>
  <c r="AE154" i="1" s="1"/>
  <c r="U175" i="1"/>
  <c r="V175" i="1" s="1"/>
  <c r="AE175" i="1" s="1"/>
  <c r="U132" i="1"/>
  <c r="V132" i="1" s="1"/>
  <c r="AE132" i="1" s="1"/>
  <c r="U172" i="1"/>
  <c r="V172" i="1" s="1"/>
  <c r="AE172" i="1" s="1"/>
  <c r="U194" i="1"/>
  <c r="V194" i="1" s="1"/>
  <c r="AE194" i="1" s="1"/>
  <c r="U120" i="1"/>
  <c r="V120" i="1" s="1"/>
  <c r="AE120" i="1" s="1"/>
  <c r="U119" i="1"/>
  <c r="V119" i="1" s="1"/>
  <c r="AE119" i="1" s="1"/>
  <c r="U189" i="1"/>
  <c r="V189" i="1" s="1"/>
  <c r="AE189" i="1" s="1"/>
  <c r="U170" i="1"/>
  <c r="V170" i="1" s="1"/>
  <c r="AE170" i="1" s="1"/>
  <c r="U148" i="1"/>
  <c r="V148" i="1" s="1"/>
  <c r="AE148" i="1" s="1"/>
  <c r="U149" i="1"/>
  <c r="V149" i="1" s="1"/>
  <c r="AE149" i="1" s="1"/>
  <c r="U145" i="1"/>
  <c r="V145" i="1" s="1"/>
  <c r="AE145" i="1" s="1"/>
  <c r="U182" i="1"/>
  <c r="V182" i="1" s="1"/>
  <c r="AE182" i="1" s="1"/>
  <c r="U168" i="1"/>
  <c r="V168" i="1" s="1"/>
  <c r="AE168" i="1" s="1"/>
  <c r="U124" i="1"/>
  <c r="V124" i="1" s="1"/>
  <c r="AE124" i="1" s="1"/>
  <c r="U128" i="1"/>
  <c r="V128" i="1" s="1"/>
  <c r="AE128" i="1" s="1"/>
  <c r="U127" i="1"/>
  <c r="V127" i="1" s="1"/>
  <c r="AE127" i="1" s="1"/>
  <c r="U126" i="1"/>
  <c r="V126" i="1" s="1"/>
  <c r="AE126" i="1" s="1"/>
  <c r="U125" i="1"/>
  <c r="V125" i="1" s="1"/>
  <c r="AE125" i="1" s="1"/>
  <c r="U196" i="1"/>
  <c r="V196" i="1" s="1"/>
  <c r="AE196" i="1" s="1"/>
  <c r="U173" i="1"/>
  <c r="V173" i="1" s="1"/>
  <c r="AE173" i="1" s="1"/>
  <c r="U174" i="1"/>
  <c r="V174" i="1" s="1"/>
  <c r="AE174" i="1" s="1"/>
  <c r="U142" i="1"/>
  <c r="V142" i="1" s="1"/>
  <c r="AE142" i="1" s="1"/>
  <c r="U143" i="1"/>
  <c r="U193" i="1"/>
  <c r="V193" i="1" s="1"/>
  <c r="AE193" i="1" s="1"/>
  <c r="U121" i="1"/>
  <c r="V121" i="1" s="1"/>
  <c r="AE121" i="1" s="1"/>
  <c r="U117" i="1"/>
  <c r="V117" i="1" s="1"/>
  <c r="AE117" i="1" s="1"/>
  <c r="U195" i="1"/>
  <c r="V195" i="1" s="1"/>
  <c r="AE195" i="1" s="1"/>
  <c r="U150" i="1"/>
  <c r="V150" i="1" s="1"/>
  <c r="U105" i="1"/>
  <c r="V105" i="1" s="1"/>
  <c r="AE105" i="1" s="1"/>
  <c r="U156" i="1"/>
  <c r="V156" i="1" s="1"/>
  <c r="AE156" i="1" s="1"/>
  <c r="U155" i="1"/>
  <c r="V155" i="1" s="1"/>
  <c r="AE155" i="1" s="1"/>
  <c r="U157" i="1"/>
  <c r="V157" i="1" s="1"/>
  <c r="AE157" i="1" s="1"/>
  <c r="U118" i="1"/>
  <c r="V118" i="1" s="1"/>
  <c r="AE118" i="1" s="1"/>
  <c r="U186" i="1"/>
  <c r="V186" i="1" s="1"/>
  <c r="AE186" i="1" s="1"/>
  <c r="U123" i="1"/>
  <c r="V123" i="1" s="1"/>
  <c r="AE123" i="1" s="1"/>
  <c r="U135" i="1"/>
  <c r="V135" i="1" s="1"/>
  <c r="AE135" i="1" s="1"/>
  <c r="U136" i="1"/>
  <c r="V136" i="1" s="1"/>
  <c r="AE136" i="1" s="1"/>
  <c r="U137" i="1"/>
  <c r="V137" i="1" s="1"/>
  <c r="AE137" i="1" s="1"/>
  <c r="U134" i="1"/>
  <c r="V134" i="1" s="1"/>
  <c r="AE134" i="1" s="1"/>
  <c r="U220" i="1"/>
  <c r="V220" i="1" s="1"/>
  <c r="AE220" i="1" s="1"/>
  <c r="Q134" i="1"/>
  <c r="Q137" i="1"/>
  <c r="Q135" i="1"/>
  <c r="Q123" i="1"/>
  <c r="Q186" i="1"/>
  <c r="Q118" i="1"/>
  <c r="Q157" i="1"/>
  <c r="Q155" i="1"/>
  <c r="Q156" i="1"/>
  <c r="Q105" i="1"/>
  <c r="Q150" i="1"/>
  <c r="Q195" i="1"/>
  <c r="Q117" i="1"/>
  <c r="Q121" i="1"/>
  <c r="Q193" i="1"/>
  <c r="Q143" i="1"/>
  <c r="Q142" i="1"/>
  <c r="Q174" i="1"/>
  <c r="Q173" i="1"/>
  <c r="Q196" i="1"/>
  <c r="Q125" i="1"/>
  <c r="Q126" i="1"/>
  <c r="Q127" i="1"/>
  <c r="Q128" i="1"/>
  <c r="Q124" i="1"/>
  <c r="Q168" i="1"/>
  <c r="Q182" i="1"/>
  <c r="Q145" i="1"/>
  <c r="Q149" i="1"/>
  <c r="Q148" i="1"/>
  <c r="Q170" i="1"/>
  <c r="Q189" i="1"/>
  <c r="Q119" i="1"/>
  <c r="Q120" i="1"/>
  <c r="Q194" i="1"/>
  <c r="Q172" i="1"/>
  <c r="Q132" i="1"/>
  <c r="Q175" i="1"/>
  <c r="Q154" i="1"/>
  <c r="Q183" i="1"/>
  <c r="Q184" i="1"/>
  <c r="Q111" i="1"/>
  <c r="Q171" i="1"/>
  <c r="Q140" i="1"/>
  <c r="Q139" i="1"/>
  <c r="Q141" i="1"/>
  <c r="Q167" i="1"/>
  <c r="Q187" i="1"/>
  <c r="Q188" i="1"/>
  <c r="Q181" i="1"/>
  <c r="Q178" i="1"/>
  <c r="Q179" i="1"/>
  <c r="Q180" i="1"/>
  <c r="Q197" i="1"/>
  <c r="Q198" i="1"/>
  <c r="Q129" i="1"/>
  <c r="Q130" i="1"/>
  <c r="Q131" i="1"/>
  <c r="Q146" i="1"/>
  <c r="Q106" i="1"/>
  <c r="Q110" i="1"/>
  <c r="Q108" i="1"/>
  <c r="Q107" i="1"/>
  <c r="Q109" i="1"/>
  <c r="Q152" i="1"/>
  <c r="Q151" i="1"/>
  <c r="Q153" i="1"/>
  <c r="Q205" i="1"/>
  <c r="Q200" i="1"/>
  <c r="Q202" i="1"/>
  <c r="Q203" i="1"/>
  <c r="Q201" i="1"/>
  <c r="Q204" i="1"/>
  <c r="Q169" i="1"/>
  <c r="Q192" i="1"/>
  <c r="Q191" i="1"/>
  <c r="Q177" i="1"/>
  <c r="Q176" i="1"/>
  <c r="Q161" i="1"/>
  <c r="Q159" i="1"/>
  <c r="Q138" i="1"/>
  <c r="Q185" i="1"/>
  <c r="Q199" i="1"/>
  <c r="Q122" i="1"/>
  <c r="Q163" i="1"/>
  <c r="Q162" i="1"/>
  <c r="Q164" i="1"/>
  <c r="Q166" i="1"/>
  <c r="Q165" i="1"/>
  <c r="Q114" i="1"/>
  <c r="Q115" i="1"/>
  <c r="Q116" i="1"/>
  <c r="Q113" i="1"/>
  <c r="Q133" i="1"/>
  <c r="Q147" i="1"/>
  <c r="Q190" i="1"/>
  <c r="Q112" i="1"/>
  <c r="Q158" i="1"/>
  <c r="Q144" i="1"/>
  <c r="Q212" i="1"/>
  <c r="Q211" i="1"/>
  <c r="Q210" i="1"/>
  <c r="Q213" i="1"/>
  <c r="Q215" i="1"/>
  <c r="Q214" i="1"/>
  <c r="Q40" i="1"/>
  <c r="Q90" i="1"/>
  <c r="Q89" i="1"/>
  <c r="Q41" i="1"/>
  <c r="Q42" i="1"/>
  <c r="Q222" i="1"/>
  <c r="Q223" i="1"/>
  <c r="Q224" i="1"/>
  <c r="Q227" i="1"/>
  <c r="Q225" i="1"/>
  <c r="Q226" i="1"/>
  <c r="Q228" i="1"/>
  <c r="Q91" i="1"/>
  <c r="Q88" i="1"/>
  <c r="Q87" i="1"/>
  <c r="Q86" i="1"/>
  <c r="Q85" i="1"/>
  <c r="Q49" i="1"/>
  <c r="Q44" i="1"/>
  <c r="Q80" i="1"/>
  <c r="Q52" i="1"/>
  <c r="Q53" i="1"/>
  <c r="Q75" i="1"/>
  <c r="Q74" i="1"/>
  <c r="Q73" i="1"/>
  <c r="Q76" i="1"/>
  <c r="Q60" i="1"/>
  <c r="Q56" i="1"/>
  <c r="Q71" i="1"/>
  <c r="Q65" i="1"/>
  <c r="Q62" i="1"/>
  <c r="Q64" i="1"/>
  <c r="Q63" i="1"/>
  <c r="Q54" i="1"/>
  <c r="Q59" i="1"/>
  <c r="Q61" i="1"/>
  <c r="Q46" i="1"/>
  <c r="Q43" i="1"/>
  <c r="Q77" i="1"/>
  <c r="Q78" i="1"/>
  <c r="Q79" i="1"/>
  <c r="Q68" i="1"/>
  <c r="Q66" i="1"/>
  <c r="Q72" i="1"/>
  <c r="Q55" i="1"/>
  <c r="Q48" i="1"/>
  <c r="Q47" i="1"/>
  <c r="Q81" i="1"/>
  <c r="Q69" i="1"/>
  <c r="Q45" i="1"/>
  <c r="Q51" i="1"/>
  <c r="Q50" i="1"/>
  <c r="Q70" i="1"/>
  <c r="Q58" i="1"/>
  <c r="Q57" i="1"/>
  <c r="Q102" i="1"/>
  <c r="Q100" i="1"/>
  <c r="Q101" i="1"/>
  <c r="Q99" i="1"/>
  <c r="Q103" i="1"/>
  <c r="Q104" i="1"/>
  <c r="Q98" i="1"/>
  <c r="Q95" i="1"/>
  <c r="Q97" i="1"/>
  <c r="Q96" i="1"/>
  <c r="Q92" i="1"/>
  <c r="Q93" i="1"/>
  <c r="Q94" i="1"/>
  <c r="Q11" i="1"/>
  <c r="Q3" i="1"/>
  <c r="Q5" i="1"/>
  <c r="Q2" i="1"/>
  <c r="Q4" i="1"/>
  <c r="Q8" i="1"/>
  <c r="Q7" i="1"/>
  <c r="Q6" i="1"/>
  <c r="Q9" i="1"/>
  <c r="Q10" i="1"/>
  <c r="Q12" i="1"/>
  <c r="Q32" i="1"/>
  <c r="Q33" i="1"/>
  <c r="Q31" i="1"/>
  <c r="Q25" i="1"/>
  <c r="Q26" i="1"/>
  <c r="Q35" i="1"/>
  <c r="Q22" i="1"/>
  <c r="Q21" i="1"/>
  <c r="Q20" i="1"/>
  <c r="Q34" i="1"/>
  <c r="Q36" i="1"/>
  <c r="Q37" i="1"/>
  <c r="Q15" i="1"/>
  <c r="Q17" i="1"/>
  <c r="Q16" i="1"/>
  <c r="Q30" i="1"/>
  <c r="Q29" i="1"/>
  <c r="Q39" i="1"/>
  <c r="Q38" i="1"/>
  <c r="Q14" i="1"/>
  <c r="Q24" i="1"/>
  <c r="Q23" i="1"/>
  <c r="Q19" i="1"/>
  <c r="Q18" i="1"/>
  <c r="Q27" i="1"/>
  <c r="Q28" i="1"/>
  <c r="Q209" i="1"/>
  <c r="Q82" i="1"/>
  <c r="Q83" i="1"/>
  <c r="Q207" i="1"/>
  <c r="Q206" i="1"/>
  <c r="Q208" i="1"/>
  <c r="Q229" i="1"/>
  <c r="Q221" i="1"/>
  <c r="Q219" i="1"/>
  <c r="Q216" i="1"/>
  <c r="Q218" i="1"/>
  <c r="Q217" i="1"/>
  <c r="Q2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<sst xmlns="http://schemas.openxmlformats.org/spreadsheetml/2006/main" count="5750" uniqueCount="1103">
  <si>
    <t>X</t>
  </si>
  <si>
    <t>artnr_DOF</t>
  </si>
  <si>
    <t>artnavn_DOF</t>
  </si>
  <si>
    <t>latin_DOF</t>
  </si>
  <si>
    <t>english_DOF</t>
  </si>
  <si>
    <t>english_nospace_DOF</t>
  </si>
  <si>
    <t>Species2_AVONET</t>
  </si>
  <si>
    <t>Family2_AVONET</t>
  </si>
  <si>
    <t>Order2_AVONET</t>
  </si>
  <si>
    <t>Migration_AVONET</t>
  </si>
  <si>
    <t>foraging_guild_gotelli_gotelli</t>
  </si>
  <si>
    <t>foraging_guild_davison_davison</t>
  </si>
  <si>
    <t>occ_a3_DOF</t>
  </si>
  <si>
    <t>trend_DOF</t>
  </si>
  <si>
    <t>trend_a1a2_DOF</t>
  </si>
  <si>
    <t>tend_a2a3_DOF</t>
  </si>
  <si>
    <t>trend_a1a2a3_DOF</t>
  </si>
  <si>
    <t>Lille Lappedykker</t>
  </si>
  <si>
    <t>Tachybaptus ruficollis</t>
  </si>
  <si>
    <t>Little Grebe</t>
  </si>
  <si>
    <t>LittleGrebe</t>
  </si>
  <si>
    <t>Podicipedidae</t>
  </si>
  <si>
    <t>Podicipediformes</t>
  </si>
  <si>
    <t>Aquatic pursuers</t>
  </si>
  <si>
    <t>+</t>
  </si>
  <si>
    <t>++</t>
  </si>
  <si>
    <t>Toppet Lappedykker</t>
  </si>
  <si>
    <t>Podiceps cristatus</t>
  </si>
  <si>
    <t>Great Crested Grebe</t>
  </si>
  <si>
    <t>GreatCrestedGrebe</t>
  </si>
  <si>
    <t>-</t>
  </si>
  <si>
    <t>+-</t>
  </si>
  <si>
    <t>GrÂstrubet Lappedykker</t>
  </si>
  <si>
    <t>Podiceps grisegena</t>
  </si>
  <si>
    <t>Red-necked Grebe</t>
  </si>
  <si>
    <t>RedneckedGrebe</t>
  </si>
  <si>
    <t>Nordisk Lappedykker</t>
  </si>
  <si>
    <t>Podiceps auritus</t>
  </si>
  <si>
    <t>Horned Grebe</t>
  </si>
  <si>
    <t>HornedGrebe</t>
  </si>
  <si>
    <t>Sorthalset Lappedykker</t>
  </si>
  <si>
    <t>Podiceps nigricollis</t>
  </si>
  <si>
    <t>Black-necked Grebe</t>
  </si>
  <si>
    <t>BlackneckedGrebe</t>
  </si>
  <si>
    <t>Mallemuk</t>
  </si>
  <si>
    <t>Fulmarus glacialis</t>
  </si>
  <si>
    <t>Northern Fulmar</t>
  </si>
  <si>
    <t>NorthernFulmar</t>
  </si>
  <si>
    <t>Procellariidae</t>
  </si>
  <si>
    <t>Procellariiformes</t>
  </si>
  <si>
    <t>=</t>
  </si>
  <si>
    <t>==</t>
  </si>
  <si>
    <t>Skarv</t>
  </si>
  <si>
    <t>Phalacrocorax carbo</t>
  </si>
  <si>
    <t>Great Cormorant</t>
  </si>
  <si>
    <t>GreatCormorant</t>
  </si>
  <si>
    <t>Phalacrocoracidae</t>
  </si>
  <si>
    <t>Suliformes</t>
  </si>
  <si>
    <t>R¯rdrum</t>
  </si>
  <si>
    <t>Botaurus stellaris</t>
  </si>
  <si>
    <t>Eurasian Bittern</t>
  </si>
  <si>
    <t>EurasianBittern</t>
  </si>
  <si>
    <t>Ardeidae</t>
  </si>
  <si>
    <t>Pelecaniformes</t>
  </si>
  <si>
    <t>Wading birds</t>
  </si>
  <si>
    <t>S¯lvhejre</t>
  </si>
  <si>
    <t>Ardea alba</t>
  </si>
  <si>
    <t>Great Egret</t>
  </si>
  <si>
    <t>GreatEgret</t>
  </si>
  <si>
    <t>=+</t>
  </si>
  <si>
    <t>Fiskehejre</t>
  </si>
  <si>
    <t>Ardea cinerea</t>
  </si>
  <si>
    <t>Grey Heron</t>
  </si>
  <si>
    <t>GreyHeron</t>
  </si>
  <si>
    <t>Sort Stork</t>
  </si>
  <si>
    <t>Ciconia nigra</t>
  </si>
  <si>
    <t>Black Stork</t>
  </si>
  <si>
    <t>BlackStork</t>
  </si>
  <si>
    <t>Ciconiidae</t>
  </si>
  <si>
    <t>Ciconiiformes</t>
  </si>
  <si>
    <t>Hvid Stork</t>
  </si>
  <si>
    <t>Ciconia ciconia</t>
  </si>
  <si>
    <t>White Stork</t>
  </si>
  <si>
    <t>WhiteStork</t>
  </si>
  <si>
    <t>--</t>
  </si>
  <si>
    <t>Skestork</t>
  </si>
  <si>
    <t>Platalea leucorodia</t>
  </si>
  <si>
    <t>Eurasian Spoonbill</t>
  </si>
  <si>
    <t>EurasianSpoonbill</t>
  </si>
  <si>
    <t>Threskiornithidae</t>
  </si>
  <si>
    <t>Knopsvane</t>
  </si>
  <si>
    <t>Cygnus olor</t>
  </si>
  <si>
    <t>Mute Swan</t>
  </si>
  <si>
    <t>MuteSwan</t>
  </si>
  <si>
    <t>Anatidae</t>
  </si>
  <si>
    <t>Anseriformes</t>
  </si>
  <si>
    <t>Grazing waterfowl</t>
  </si>
  <si>
    <t>Sangsvane</t>
  </si>
  <si>
    <t>Cygnus cygnus</t>
  </si>
  <si>
    <t>Whooper Swan</t>
  </si>
  <si>
    <t>WhooperSwan</t>
  </si>
  <si>
    <t>GrÂgÂs</t>
  </si>
  <si>
    <t>Anser anser</t>
  </si>
  <si>
    <t>Greylag Goose</t>
  </si>
  <si>
    <t>GreylagGoose</t>
  </si>
  <si>
    <t>SnegÂs</t>
  </si>
  <si>
    <t>Anser caerulescens</t>
  </si>
  <si>
    <t>Snow Goose</t>
  </si>
  <si>
    <t>SnowGoose</t>
  </si>
  <si>
    <t>CanadagÂs</t>
  </si>
  <si>
    <t>Branta canadensis</t>
  </si>
  <si>
    <t>Canada Goose</t>
  </si>
  <si>
    <t>CanadaGoose</t>
  </si>
  <si>
    <t>BramgÂs</t>
  </si>
  <si>
    <t>Branta leucopsis</t>
  </si>
  <si>
    <t>Barnacle Goose</t>
  </si>
  <si>
    <t>BarnacleGoose</t>
  </si>
  <si>
    <t>NilgÂs</t>
  </si>
  <si>
    <t>Alopochen aegyptiaca</t>
  </si>
  <si>
    <t>Egyptian Goose</t>
  </si>
  <si>
    <t>EgyptianGoose</t>
  </si>
  <si>
    <t>Rustand</t>
  </si>
  <si>
    <t>Tadorna ferruginea</t>
  </si>
  <si>
    <t>Ruddy Shelduck</t>
  </si>
  <si>
    <t>RuddyShelduck</t>
  </si>
  <si>
    <t>Gravand</t>
  </si>
  <si>
    <t>Tadorna tadorna</t>
  </si>
  <si>
    <t>Common Shelduck</t>
  </si>
  <si>
    <t>CommonShelduck</t>
  </si>
  <si>
    <t>Dabbling ducks</t>
  </si>
  <si>
    <t>Mandarinand</t>
  </si>
  <si>
    <t>Aix galericulata</t>
  </si>
  <si>
    <t>Mandarin Duck</t>
  </si>
  <si>
    <t>MandarinDuck</t>
  </si>
  <si>
    <t>=-</t>
  </si>
  <si>
    <t>Pibeand</t>
  </si>
  <si>
    <t>Mareca penelope</t>
  </si>
  <si>
    <t>Eurasian Wigeon</t>
  </si>
  <si>
    <t>EurasianWigeon</t>
  </si>
  <si>
    <t>Knarand</t>
  </si>
  <si>
    <t>Mareca strepera</t>
  </si>
  <si>
    <t>Gadwall</t>
  </si>
  <si>
    <t>Krikand</t>
  </si>
  <si>
    <t>Anas crecca</t>
  </si>
  <si>
    <t>Eurasian Teal</t>
  </si>
  <si>
    <t>EurasianTeal</t>
  </si>
  <si>
    <t>GrÂand</t>
  </si>
  <si>
    <t>Anas platyrhynchos</t>
  </si>
  <si>
    <t>Mallard</t>
  </si>
  <si>
    <t>Spidsand</t>
  </si>
  <si>
    <t>Anas acuta</t>
  </si>
  <si>
    <t>Northern Pintail</t>
  </si>
  <si>
    <t>NorthernPintail</t>
  </si>
  <si>
    <t>Atlingand</t>
  </si>
  <si>
    <t>Spatula querquedula</t>
  </si>
  <si>
    <t>Garganey</t>
  </si>
  <si>
    <t>Skeand</t>
  </si>
  <si>
    <t>Spatula clypeata</t>
  </si>
  <si>
    <t>Northern Shoveler</t>
  </si>
  <si>
    <t>NorthernShoveler</t>
  </si>
  <si>
    <t>R¯dhovedet And</t>
  </si>
  <si>
    <t>Netta rufina</t>
  </si>
  <si>
    <t>Red-crested Pochard</t>
  </si>
  <si>
    <t>RedcrestedPochard</t>
  </si>
  <si>
    <t>-+</t>
  </si>
  <si>
    <t>Taffeland</t>
  </si>
  <si>
    <t>Aythya ferina</t>
  </si>
  <si>
    <t>Common Pochard</t>
  </si>
  <si>
    <t>CommonPochard</t>
  </si>
  <si>
    <t>Diving ducks</t>
  </si>
  <si>
    <t>Troldand</t>
  </si>
  <si>
    <t>Aythya fuligula</t>
  </si>
  <si>
    <t>Tufted Duck</t>
  </si>
  <si>
    <t>TuftedDuck</t>
  </si>
  <si>
    <t>Bjergand</t>
  </si>
  <si>
    <t>Aythya marila</t>
  </si>
  <si>
    <t>Greater Scaup</t>
  </si>
  <si>
    <t>GreaterScaup</t>
  </si>
  <si>
    <t>Ederfugl</t>
  </si>
  <si>
    <t>Somateria mollissima</t>
  </si>
  <si>
    <t>Common Eider</t>
  </si>
  <si>
    <t>CommonEider</t>
  </si>
  <si>
    <t>Havlit</t>
  </si>
  <si>
    <t>Clangula hyemalis</t>
  </si>
  <si>
    <t>Long-tailed Duck</t>
  </si>
  <si>
    <t>LongtailedDuck</t>
  </si>
  <si>
    <t>Hvinand</t>
  </si>
  <si>
    <t>Bucephala clangula</t>
  </si>
  <si>
    <t>Common Goldeneye</t>
  </si>
  <si>
    <t>CommonGoldeneye</t>
  </si>
  <si>
    <t>Lille Skallesluger</t>
  </si>
  <si>
    <t>Mergellus albellus</t>
  </si>
  <si>
    <t>Smew</t>
  </si>
  <si>
    <t>Toppet Skallesluger</t>
  </si>
  <si>
    <t>Mergus serrator</t>
  </si>
  <si>
    <t>Red-breasted Merganser</t>
  </si>
  <si>
    <t>RedbreastedMerganser</t>
  </si>
  <si>
    <t>Stor Skallesluger</t>
  </si>
  <si>
    <t>Mergus merganser</t>
  </si>
  <si>
    <t>Common Merganser</t>
  </si>
  <si>
    <t>CommonMerganser</t>
  </si>
  <si>
    <t>HvepsevÂge</t>
  </si>
  <si>
    <t>Pernis apivorus</t>
  </si>
  <si>
    <t>European Honey Buzzard</t>
  </si>
  <si>
    <t>EuropeanHoneyBuzzard</t>
  </si>
  <si>
    <t>Accipitridae</t>
  </si>
  <si>
    <t>Accipitriformes</t>
  </si>
  <si>
    <t>Diurnal raptors</t>
  </si>
  <si>
    <t>R¯d Glente</t>
  </si>
  <si>
    <t>Milvus milvus</t>
  </si>
  <si>
    <t>Red Kite</t>
  </si>
  <si>
    <t>RedKite</t>
  </si>
  <si>
    <t>Hav¯rn</t>
  </si>
  <si>
    <t>Haliaeetus albicilla</t>
  </si>
  <si>
    <t>White-tailed Eagle</t>
  </si>
  <si>
    <t>WhitetailedEagle</t>
  </si>
  <si>
    <t>R¯rh¯g</t>
  </si>
  <si>
    <t>Circus aeruginosus</t>
  </si>
  <si>
    <t>Western Marsh Harrier</t>
  </si>
  <si>
    <t>WesternMarshHarrier</t>
  </si>
  <si>
    <t>BlÂ KÊrh¯g</t>
  </si>
  <si>
    <t>Circus cyaneus</t>
  </si>
  <si>
    <t>Hen Harrier</t>
  </si>
  <si>
    <t>HenHarrier</t>
  </si>
  <si>
    <t>Hedeh¯g</t>
  </si>
  <si>
    <t>Circus pygargus</t>
  </si>
  <si>
    <t>Montagu's Harrier</t>
  </si>
  <si>
    <t>Montagu'sHarrier</t>
  </si>
  <si>
    <t>+=</t>
  </si>
  <si>
    <t>Dueh¯g</t>
  </si>
  <si>
    <t>Astur gentilis</t>
  </si>
  <si>
    <t>Northern Goshawk</t>
  </si>
  <si>
    <t>NorthernGoshawk</t>
  </si>
  <si>
    <t>Spurveh¯g</t>
  </si>
  <si>
    <t>Accipiter nisus</t>
  </si>
  <si>
    <t>Eurasian Sparrowhawk</t>
  </si>
  <si>
    <t>EurasianSparrowhawk</t>
  </si>
  <si>
    <t>MusvÂge</t>
  </si>
  <si>
    <t>Buteo buteo</t>
  </si>
  <si>
    <t>Common Buzzard</t>
  </si>
  <si>
    <t>CommonBuzzard</t>
  </si>
  <si>
    <t>Konge¯rn</t>
  </si>
  <si>
    <t>Aquila chrysaetos</t>
  </si>
  <si>
    <t>Golden Eagle</t>
  </si>
  <si>
    <t>GoldenEagle</t>
  </si>
  <si>
    <t>Fiske¯rn</t>
  </si>
  <si>
    <t>Pandion haliaetus</t>
  </si>
  <si>
    <t>Western Osprey</t>
  </si>
  <si>
    <t>WesternOsprey</t>
  </si>
  <si>
    <t>Pandionidae</t>
  </si>
  <si>
    <t>TÂrnfalk</t>
  </si>
  <si>
    <t>Falco tinnunculus</t>
  </si>
  <si>
    <t>Common Kestrel</t>
  </si>
  <si>
    <t>CommonKestrel</t>
  </si>
  <si>
    <t>Falconidae</t>
  </si>
  <si>
    <t>Falconiformes</t>
  </si>
  <si>
    <t>LÊrkefalk</t>
  </si>
  <si>
    <t>Falco subbuteo</t>
  </si>
  <si>
    <t>Eurasian Hobby</t>
  </si>
  <si>
    <t>EurasianHobby</t>
  </si>
  <si>
    <t>Vandrefalk</t>
  </si>
  <si>
    <t>Falco peregrinus</t>
  </si>
  <si>
    <t>Peregrine Falcon</t>
  </si>
  <si>
    <t>PeregrineFalcon</t>
  </si>
  <si>
    <t>Urfugl</t>
  </si>
  <si>
    <t>Lyrurus tetrix</t>
  </si>
  <si>
    <t>Black Grouse</t>
  </si>
  <si>
    <t>BlackGrouse</t>
  </si>
  <si>
    <t>Phasianidae</t>
  </si>
  <si>
    <t>Galliformes</t>
  </si>
  <si>
    <t>Gallinaceous birds</t>
  </si>
  <si>
    <t>Agerh¯ne</t>
  </si>
  <si>
    <t>Perdix perdix</t>
  </si>
  <si>
    <t>Grey Partridge</t>
  </si>
  <si>
    <t>GreyPartridge</t>
  </si>
  <si>
    <t>Vagtel</t>
  </si>
  <si>
    <t>Coturnix coturnix</t>
  </si>
  <si>
    <t>Common Quail</t>
  </si>
  <si>
    <t>CommonQuail</t>
  </si>
  <si>
    <t>Fasan</t>
  </si>
  <si>
    <t>Phasianus colchicus</t>
  </si>
  <si>
    <t>Common Pheasant</t>
  </si>
  <si>
    <t>CommonPheasant</t>
  </si>
  <si>
    <t>Vandrikse</t>
  </si>
  <si>
    <t>Rallus aquaticus</t>
  </si>
  <si>
    <t>Water Rail</t>
  </si>
  <si>
    <t>WaterRail</t>
  </si>
  <si>
    <t>Rallidae</t>
  </si>
  <si>
    <t>Gruiformes</t>
  </si>
  <si>
    <t>Rails</t>
  </si>
  <si>
    <t>Plettet R¯rvagtel</t>
  </si>
  <si>
    <t>Porzana porzana</t>
  </si>
  <si>
    <t>Spotted Crake</t>
  </si>
  <si>
    <t>SpottedCrake</t>
  </si>
  <si>
    <t>Engsnarre</t>
  </si>
  <si>
    <t>Crex crex</t>
  </si>
  <si>
    <t>Corn Crake</t>
  </si>
  <si>
    <t>CornCrake</t>
  </si>
  <si>
    <t>R¯rh¯ne (Gr¯nbenet)</t>
  </si>
  <si>
    <t>Gallinula chloropus</t>
  </si>
  <si>
    <t>Common Moorhen</t>
  </si>
  <si>
    <t>CommonMoorhen</t>
  </si>
  <si>
    <t>Blish¯ne</t>
  </si>
  <si>
    <t>Fulica atra</t>
  </si>
  <si>
    <t>Eurasian Coot</t>
  </si>
  <si>
    <t>EurasianCoot</t>
  </si>
  <si>
    <t>Trane</t>
  </si>
  <si>
    <t>Grus grus</t>
  </si>
  <si>
    <t>Common Crane</t>
  </si>
  <si>
    <t>CommonCrane</t>
  </si>
  <si>
    <t>Gruidae</t>
  </si>
  <si>
    <t>Strandskade</t>
  </si>
  <si>
    <t>Haematopus ostralegus</t>
  </si>
  <si>
    <t>Eurasian Oystercatcher</t>
  </si>
  <si>
    <t>EurasianOystercatcher</t>
  </si>
  <si>
    <t>Haematopodidae</t>
  </si>
  <si>
    <t>Charadriiformes</t>
  </si>
  <si>
    <t>Plovers</t>
  </si>
  <si>
    <t>Styltel¯ber</t>
  </si>
  <si>
    <t>Himantopus himantopus</t>
  </si>
  <si>
    <t>Black-winged Stilt</t>
  </si>
  <si>
    <t>BlackwingedStilt</t>
  </si>
  <si>
    <t>Recurvirostridae</t>
  </si>
  <si>
    <t>Klyde</t>
  </si>
  <si>
    <t>Recurvirostra avosetta</t>
  </si>
  <si>
    <t>Pied Avocet</t>
  </si>
  <si>
    <t>PiedAvocet</t>
  </si>
  <si>
    <t>Lille PrÊstekrave</t>
  </si>
  <si>
    <t>Charadrius dubius</t>
  </si>
  <si>
    <t>Little Ringed Plover</t>
  </si>
  <si>
    <t>LittleRingedPlover</t>
  </si>
  <si>
    <t>Charadriidae</t>
  </si>
  <si>
    <t>Stor PrÊstekrave</t>
  </si>
  <si>
    <t>Charadrius hiaticula</t>
  </si>
  <si>
    <t>Common Ringed Plover</t>
  </si>
  <si>
    <t>CommonRingedPlover</t>
  </si>
  <si>
    <t>Hvidbrystet PrÊstekrave</t>
  </si>
  <si>
    <t>Anarhynchus alexandrinus</t>
  </si>
  <si>
    <t>Kentish Plover</t>
  </si>
  <si>
    <t>KentishPlover</t>
  </si>
  <si>
    <t>Hjejle</t>
  </si>
  <si>
    <t>Pluvialis apricaria</t>
  </si>
  <si>
    <t>European Golden Plover</t>
  </si>
  <si>
    <t>EuropeanGoldenPlover</t>
  </si>
  <si>
    <t>Vibe</t>
  </si>
  <si>
    <t>Vanellus vanellus</t>
  </si>
  <si>
    <t>Northern Lapwing</t>
  </si>
  <si>
    <t>NorthernLapwing</t>
  </si>
  <si>
    <t>Almindelig Ryle</t>
  </si>
  <si>
    <t>Calidris alpina</t>
  </si>
  <si>
    <t>Dunlin</t>
  </si>
  <si>
    <t>Scolopacidae</t>
  </si>
  <si>
    <t>Scolopacids</t>
  </si>
  <si>
    <t>Brushane</t>
  </si>
  <si>
    <t>Calidris pugnax</t>
  </si>
  <si>
    <t>Ruff</t>
  </si>
  <si>
    <t>Enkeltbekkasin</t>
  </si>
  <si>
    <t>Lymnocryptes minimus</t>
  </si>
  <si>
    <t>Jack Snipe</t>
  </si>
  <si>
    <t>JackSnipe</t>
  </si>
  <si>
    <t>Dobbeltbekkasin</t>
  </si>
  <si>
    <t>Gallinago gallinago</t>
  </si>
  <si>
    <t>Common Snipe</t>
  </si>
  <si>
    <t>CommonSnipe</t>
  </si>
  <si>
    <t>Skovsneppe</t>
  </si>
  <si>
    <t>Scolopax rusticola</t>
  </si>
  <si>
    <t>Eurasian Woodcock</t>
  </si>
  <si>
    <t>EurasianWoodcock</t>
  </si>
  <si>
    <t>Stor Kobbersneppe</t>
  </si>
  <si>
    <t>Limosa limosa</t>
  </si>
  <si>
    <t>Black-tailed Godwit</t>
  </si>
  <si>
    <t>BlacktailedGodwit</t>
  </si>
  <si>
    <t>Storspove</t>
  </si>
  <si>
    <t>Numenius arquata</t>
  </si>
  <si>
    <t>Eurasian Curlew</t>
  </si>
  <si>
    <t>EurasianCurlew</t>
  </si>
  <si>
    <t>R¯dben</t>
  </si>
  <si>
    <t>Tringa totanus</t>
  </si>
  <si>
    <t>Common Redshank</t>
  </si>
  <si>
    <t>CommonRedshank</t>
  </si>
  <si>
    <t>Svaleklire</t>
  </si>
  <si>
    <t>Tringa ochropus</t>
  </si>
  <si>
    <t>Green Sandpiper</t>
  </si>
  <si>
    <t>GreenSandpiper</t>
  </si>
  <si>
    <t>Tinksmed</t>
  </si>
  <si>
    <t>Tringa glareola</t>
  </si>
  <si>
    <t>Wood Sandpiper</t>
  </si>
  <si>
    <t>WoodSandpiper</t>
  </si>
  <si>
    <t>Mudderklire</t>
  </si>
  <si>
    <t>Actitis hypoleucos</t>
  </si>
  <si>
    <t>Common Sandpiper</t>
  </si>
  <si>
    <t>CommonSandpiper</t>
  </si>
  <si>
    <t>Stenvender</t>
  </si>
  <si>
    <t>Arenaria interpres</t>
  </si>
  <si>
    <t>Ruddy Turnstone</t>
  </si>
  <si>
    <t>RuddyTurnstone</t>
  </si>
  <si>
    <t>Sorthovedet MÂge</t>
  </si>
  <si>
    <t>Ichthyaetus melanocephalus</t>
  </si>
  <si>
    <t>Mediterranean Gull</t>
  </si>
  <si>
    <t>MediterraneanGull</t>
  </si>
  <si>
    <t>Laridae</t>
  </si>
  <si>
    <t>Gulls</t>
  </si>
  <si>
    <t>DvÊrgmÂge</t>
  </si>
  <si>
    <t>Hydrocoloeus minutus</t>
  </si>
  <si>
    <t>Little Gull</t>
  </si>
  <si>
    <t>LittleGull</t>
  </si>
  <si>
    <t>HÊttemÂge</t>
  </si>
  <si>
    <t>Chroicocephalus ridibundus</t>
  </si>
  <si>
    <t>Black-headed Gull</t>
  </si>
  <si>
    <t>BlackheadedGull</t>
  </si>
  <si>
    <t>StormmÂge</t>
  </si>
  <si>
    <t>Larus canus</t>
  </si>
  <si>
    <t>Common Gull</t>
  </si>
  <si>
    <t>CommonGull</t>
  </si>
  <si>
    <t>SildemÂge</t>
  </si>
  <si>
    <t>Larus fuscus</t>
  </si>
  <si>
    <t>Lesser Black-backed Gull</t>
  </si>
  <si>
    <t>LesserBlackbackedGull</t>
  </si>
  <si>
    <t>S¯lvmÂge</t>
  </si>
  <si>
    <t>Larus argentatus</t>
  </si>
  <si>
    <t>European Herring Gull</t>
  </si>
  <si>
    <t>EuropeanHerringGull</t>
  </si>
  <si>
    <t>Svartbag</t>
  </si>
  <si>
    <t>Larus marinus</t>
  </si>
  <si>
    <t>Great Black-backed Gull</t>
  </si>
  <si>
    <t>GreatBlackbackedGull</t>
  </si>
  <si>
    <t>Ride</t>
  </si>
  <si>
    <t>Rissa tridactyla</t>
  </si>
  <si>
    <t>Black-legged Kittiwake</t>
  </si>
  <si>
    <t>BlackleggedKittiwake</t>
  </si>
  <si>
    <t>Sandterne</t>
  </si>
  <si>
    <t>Gelochelidon nilotica</t>
  </si>
  <si>
    <t>Gull-billed Tern</t>
  </si>
  <si>
    <t>GullbilledTern</t>
  </si>
  <si>
    <t>Terns</t>
  </si>
  <si>
    <t>Rovterne</t>
  </si>
  <si>
    <t>Hydroprogne caspia</t>
  </si>
  <si>
    <t>Caspian Tern</t>
  </si>
  <si>
    <t>CaspianTern</t>
  </si>
  <si>
    <t>Splitterne</t>
  </si>
  <si>
    <t>Thalasseus sandvicensis</t>
  </si>
  <si>
    <t>Sandwich Tern</t>
  </si>
  <si>
    <t>SandwichTern</t>
  </si>
  <si>
    <t>Fjordterne</t>
  </si>
  <si>
    <t>Sterna hirundo</t>
  </si>
  <si>
    <t>Common Tern</t>
  </si>
  <si>
    <t>CommonTern</t>
  </si>
  <si>
    <t>Havterne</t>
  </si>
  <si>
    <t>Sterna paradisaea</t>
  </si>
  <si>
    <t>Arctic Tern</t>
  </si>
  <si>
    <t>ArcticTern</t>
  </si>
  <si>
    <t>DvÊrgterne</t>
  </si>
  <si>
    <t>Sternula albifrons</t>
  </si>
  <si>
    <t>Little Tern</t>
  </si>
  <si>
    <t>LittleTern</t>
  </si>
  <si>
    <t>Sortterne</t>
  </si>
  <si>
    <t>Chlidonias niger</t>
  </si>
  <si>
    <t>Black Tern</t>
  </si>
  <si>
    <t>BlackTern</t>
  </si>
  <si>
    <t>Hvidvinget Terne</t>
  </si>
  <si>
    <t>Chlidonias leucopterus</t>
  </si>
  <si>
    <t>White-winged Tern</t>
  </si>
  <si>
    <t>WhitewingedTern</t>
  </si>
  <si>
    <t>Lomvie</t>
  </si>
  <si>
    <t>Uria aalge</t>
  </si>
  <si>
    <t>Common Murre</t>
  </si>
  <si>
    <t>CommonMurre</t>
  </si>
  <si>
    <t>Alcidae</t>
  </si>
  <si>
    <t>Alk</t>
  </si>
  <si>
    <t>Alca torda</t>
  </si>
  <si>
    <t>Razorbill</t>
  </si>
  <si>
    <t>Tejst</t>
  </si>
  <si>
    <t>Cepphus grylle</t>
  </si>
  <si>
    <t>Black Guillemot</t>
  </si>
  <si>
    <t>BlackGuillemot</t>
  </si>
  <si>
    <t>Klippedue (tamdue)</t>
  </si>
  <si>
    <t>Columba livia</t>
  </si>
  <si>
    <t>Rock Dove</t>
  </si>
  <si>
    <t>RockDove</t>
  </si>
  <si>
    <t>Columbidae</t>
  </si>
  <si>
    <t>Columbiformes</t>
  </si>
  <si>
    <t>Huldue</t>
  </si>
  <si>
    <t>Columba oenas</t>
  </si>
  <si>
    <t>Stock Dove</t>
  </si>
  <si>
    <t>StockDove</t>
  </si>
  <si>
    <t>Columbids</t>
  </si>
  <si>
    <t>Ringdue</t>
  </si>
  <si>
    <t>Columba palumbus</t>
  </si>
  <si>
    <t>Common Wood Pigeon</t>
  </si>
  <si>
    <t>CommonWoodPigeon</t>
  </si>
  <si>
    <t>Tyrkerdue</t>
  </si>
  <si>
    <t>Streptopelia decaocto</t>
  </si>
  <si>
    <t>Eurasian Collared Dove</t>
  </si>
  <si>
    <t>EurasianCollaredDove</t>
  </si>
  <si>
    <t>Turteldue</t>
  </si>
  <si>
    <t>Streptopelia turtur</t>
  </si>
  <si>
    <t>European Turtle Dove</t>
  </si>
  <si>
    <t>EuropeanTurtleDove</t>
  </si>
  <si>
    <t>G¯g</t>
  </si>
  <si>
    <t>Cuculus canorus</t>
  </si>
  <si>
    <t>Common Cuckoo</t>
  </si>
  <si>
    <t>CommonCuckoo</t>
  </si>
  <si>
    <t>Cuculidae</t>
  </si>
  <si>
    <t>Cuculiformes</t>
  </si>
  <si>
    <t>Cuckoos</t>
  </si>
  <si>
    <t>Sl¯rugle</t>
  </si>
  <si>
    <t>Tyto alba</t>
  </si>
  <si>
    <t>Western Barn Owl</t>
  </si>
  <si>
    <t>WesternBarnOwl</t>
  </si>
  <si>
    <t>Tytonidae</t>
  </si>
  <si>
    <t>Strigiformes</t>
  </si>
  <si>
    <t>Stor Hornugle</t>
  </si>
  <si>
    <t>Bubo bubo</t>
  </si>
  <si>
    <t>Eurasian Eagle-Owl</t>
  </si>
  <si>
    <t>EurasianEagleOwl</t>
  </si>
  <si>
    <t>Strigidae</t>
  </si>
  <si>
    <t>Kirkeugle</t>
  </si>
  <si>
    <t>Athene noctua</t>
  </si>
  <si>
    <t>Little Owl</t>
  </si>
  <si>
    <t>LittleOwl</t>
  </si>
  <si>
    <t>Owls</t>
  </si>
  <si>
    <t>Natugle</t>
  </si>
  <si>
    <t>Strix aluco</t>
  </si>
  <si>
    <t>Tawny Owl</t>
  </si>
  <si>
    <t>TawnyOwl</t>
  </si>
  <si>
    <t>Skovhornugle</t>
  </si>
  <si>
    <t>Asio otus</t>
  </si>
  <si>
    <t>Long-eared Owl</t>
  </si>
  <si>
    <t>LongearedOwl</t>
  </si>
  <si>
    <t>Mosehornugle</t>
  </si>
  <si>
    <t>Asio flammeus</t>
  </si>
  <si>
    <t>Short-eared Owl</t>
  </si>
  <si>
    <t>ShortearedOwl</t>
  </si>
  <si>
    <t>Perleugle</t>
  </si>
  <si>
    <t>Aegolius funereus</t>
  </si>
  <si>
    <t>Boreal Owl</t>
  </si>
  <si>
    <t>BorealOwl</t>
  </si>
  <si>
    <t>Natravn</t>
  </si>
  <si>
    <t>Caprimulgus europaeus</t>
  </si>
  <si>
    <t>European Nightjar</t>
  </si>
  <si>
    <t>EuropeanNightjar</t>
  </si>
  <si>
    <t>Caprimulgidae</t>
  </si>
  <si>
    <t>Caprimulgiformes</t>
  </si>
  <si>
    <t>Mursejler</t>
  </si>
  <si>
    <t>Apus apus</t>
  </si>
  <si>
    <t>Common Swift</t>
  </si>
  <si>
    <t>CommonSwift</t>
  </si>
  <si>
    <t>Apodidae</t>
  </si>
  <si>
    <t>Aerial insectivores</t>
  </si>
  <si>
    <t>Isfugl</t>
  </si>
  <si>
    <t>Alcedo atthis</t>
  </si>
  <si>
    <t>Common Kingfisher</t>
  </si>
  <si>
    <t>CommonKingfisher</t>
  </si>
  <si>
    <t>Alcedinidae</t>
  </si>
  <si>
    <t>Coraciiformes</t>
  </si>
  <si>
    <t>Kingfishers</t>
  </si>
  <si>
    <t>BiÊder</t>
  </si>
  <si>
    <t>Merops apiaster</t>
  </si>
  <si>
    <t>European Bee-eater</t>
  </si>
  <si>
    <t>EuropeanBeeeater</t>
  </si>
  <si>
    <t>Meropidae</t>
  </si>
  <si>
    <t>HÊrfugl</t>
  </si>
  <si>
    <t>Upupa epops</t>
  </si>
  <si>
    <t>Eurasian Hoopoe</t>
  </si>
  <si>
    <t>EurasianHoopoe</t>
  </si>
  <si>
    <t>Upupidae</t>
  </si>
  <si>
    <t>Bucerotiformes</t>
  </si>
  <si>
    <t>Vendehals</t>
  </si>
  <si>
    <t>Jynx torquilla</t>
  </si>
  <si>
    <t>Eurasian Wryneck</t>
  </si>
  <si>
    <t>EurasianWryneck</t>
  </si>
  <si>
    <t>Picidae</t>
  </si>
  <si>
    <t>Piciformes</t>
  </si>
  <si>
    <t>Woodpeckers</t>
  </si>
  <si>
    <t>Gr¯nspÊtte</t>
  </si>
  <si>
    <t>Picus viridis</t>
  </si>
  <si>
    <t>European Green Woodpecker</t>
  </si>
  <si>
    <t>EuropeanGreenWoodpecker</t>
  </si>
  <si>
    <t>SortspÊtte</t>
  </si>
  <si>
    <t>Dryocopus martius</t>
  </si>
  <si>
    <t>Black Woodpecker</t>
  </si>
  <si>
    <t>BlackWoodpecker</t>
  </si>
  <si>
    <t>Stor FlagspÊtte</t>
  </si>
  <si>
    <t>Dendrocopos major</t>
  </si>
  <si>
    <t>Great Spotted Woodpecker</t>
  </si>
  <si>
    <t>GreatSpottedWoodpecker</t>
  </si>
  <si>
    <t>MellemflagspÊtte</t>
  </si>
  <si>
    <t>Dendrocoptes medius</t>
  </si>
  <si>
    <t>Middle Spotted Woodpecker</t>
  </si>
  <si>
    <t>MiddleSpottedWoodpecker</t>
  </si>
  <si>
    <t>Lille FlagspÊtte</t>
  </si>
  <si>
    <t>Dryobates minor</t>
  </si>
  <si>
    <t>Lesser Spotted Woodpecker</t>
  </si>
  <si>
    <t>LesserSpottedWoodpecker</t>
  </si>
  <si>
    <t>ToplÊrke</t>
  </si>
  <si>
    <t>Galerida cristata</t>
  </si>
  <si>
    <t>Crested Lark</t>
  </si>
  <si>
    <t>CrestedLark</t>
  </si>
  <si>
    <t>Alaudidae</t>
  </si>
  <si>
    <t>Passeriformes</t>
  </si>
  <si>
    <t>Open-land insectivores</t>
  </si>
  <si>
    <t>HedelÊrke</t>
  </si>
  <si>
    <t>Lullula arborea</t>
  </si>
  <si>
    <t>Woodlark</t>
  </si>
  <si>
    <t>SanglÊrke</t>
  </si>
  <si>
    <t>Alauda arvensis</t>
  </si>
  <si>
    <t>Eurasian Skylark</t>
  </si>
  <si>
    <t>EurasianSkylark</t>
  </si>
  <si>
    <t>Digesvale</t>
  </si>
  <si>
    <t>Riparia riparia</t>
  </si>
  <si>
    <t>Sand Martin</t>
  </si>
  <si>
    <t>SandMartin</t>
  </si>
  <si>
    <t>Hirundinidae</t>
  </si>
  <si>
    <t>Landsvale</t>
  </si>
  <si>
    <t>Hirundo rustica</t>
  </si>
  <si>
    <t>Barn Swallow</t>
  </si>
  <si>
    <t>BarnSwallow</t>
  </si>
  <si>
    <t>Bysvale</t>
  </si>
  <si>
    <t>Delichon urbicum</t>
  </si>
  <si>
    <t>Common House Martin</t>
  </si>
  <si>
    <t>CommonHouseMartin</t>
  </si>
  <si>
    <t>Markpiber</t>
  </si>
  <si>
    <t>Anthus campestris</t>
  </si>
  <si>
    <t>Tawny Pipit</t>
  </si>
  <si>
    <t>TawnyPipit</t>
  </si>
  <si>
    <t>Motacillidae</t>
  </si>
  <si>
    <t>Skovpiber</t>
  </si>
  <si>
    <t>Anthus trivialis</t>
  </si>
  <si>
    <t>Tree Pipit</t>
  </si>
  <si>
    <t>TreePipit</t>
  </si>
  <si>
    <t>Low flycatching feeders</t>
  </si>
  <si>
    <t>Engpiber</t>
  </si>
  <si>
    <t>Anthus pratensis</t>
  </si>
  <si>
    <t>Meadow Pipit</t>
  </si>
  <si>
    <t>MeadowPipit</t>
  </si>
  <si>
    <t>SkÊrpiber</t>
  </si>
  <si>
    <t>Anthus petrosus</t>
  </si>
  <si>
    <t>European Rock Pipit</t>
  </si>
  <si>
    <t>EuropeanRockPipit</t>
  </si>
  <si>
    <t>Gul Vipstjert</t>
  </si>
  <si>
    <t>Motacilla flava</t>
  </si>
  <si>
    <t>Western Yellow Wagtail</t>
  </si>
  <si>
    <t>WesternYellowWagtail</t>
  </si>
  <si>
    <t>Gul Vipstjert, Gulhovedet (ssp. flavissima)</t>
  </si>
  <si>
    <t>Motacilla flava flavissima</t>
  </si>
  <si>
    <t>Western Yellow Wagtail (ssp. flavissima)</t>
  </si>
  <si>
    <t>WesternYellowWagtail(ssp.flavissima)</t>
  </si>
  <si>
    <t>Corvidae</t>
  </si>
  <si>
    <t>Bjergvipstjert</t>
  </si>
  <si>
    <t>Motacilla cinerea</t>
  </si>
  <si>
    <t>Grey Wagtail</t>
  </si>
  <si>
    <t>GreyWagtail</t>
  </si>
  <si>
    <t>Hvid Vipstjert</t>
  </si>
  <si>
    <t>Motacilla alba</t>
  </si>
  <si>
    <t>White Wagtail</t>
  </si>
  <si>
    <t>WhiteWagtail</t>
  </si>
  <si>
    <t>Hvid Vipstjert, Sortrygget Vipstjert (ssp. yarrellii)</t>
  </si>
  <si>
    <t>Motacilla alba yarrellii</t>
  </si>
  <si>
    <t>White Wagtail (ssp. yarrellii)</t>
  </si>
  <si>
    <t>WhiteWagtail(ssp.yarrellii)</t>
  </si>
  <si>
    <t>VandstÊr</t>
  </si>
  <si>
    <t>Cinclus cinclus</t>
  </si>
  <si>
    <t>White-throated Dipper</t>
  </si>
  <si>
    <t>WhitethroatedDipper</t>
  </si>
  <si>
    <t>Cinclidae</t>
  </si>
  <si>
    <t>GÊrdesmutte</t>
  </si>
  <si>
    <t>Troglodytes troglodytes</t>
  </si>
  <si>
    <t>Eurasian Wren</t>
  </si>
  <si>
    <t>EurasianWren</t>
  </si>
  <si>
    <t>Troglodytidae</t>
  </si>
  <si>
    <t>Jernspurv</t>
  </si>
  <si>
    <t>Prunella modularis</t>
  </si>
  <si>
    <t>Dunnock</t>
  </si>
  <si>
    <t>Prunellidae</t>
  </si>
  <si>
    <t>Terrestrial and low¬† flycatching feeders</t>
  </si>
  <si>
    <t>R¯dhals</t>
  </si>
  <si>
    <t>Erithacus rubecula</t>
  </si>
  <si>
    <t>European Robin</t>
  </si>
  <si>
    <t>EuropeanRobin</t>
  </si>
  <si>
    <t>Muscicapidae</t>
  </si>
  <si>
    <t>Nattergal</t>
  </si>
  <si>
    <t>Luscinia luscinia</t>
  </si>
  <si>
    <t>Thrush Nightingale</t>
  </si>
  <si>
    <t>ThrushNightingale</t>
  </si>
  <si>
    <t>Sydlig Nattergal</t>
  </si>
  <si>
    <t>Luscinia megarhynchos</t>
  </si>
  <si>
    <t>Common Nightingale</t>
  </si>
  <si>
    <t>CommonNightingale</t>
  </si>
  <si>
    <t>Luscinia svecica</t>
  </si>
  <si>
    <t>BlÂhals</t>
  </si>
  <si>
    <t>Bluethroat</t>
  </si>
  <si>
    <t>Husr¯dstjert</t>
  </si>
  <si>
    <t>Phoenicurus ochruros</t>
  </si>
  <si>
    <t>Black Redstart</t>
  </si>
  <si>
    <t>BlackRedstart</t>
  </si>
  <si>
    <t>R¯dstjert</t>
  </si>
  <si>
    <t>Phoenicurus phoenicurus</t>
  </si>
  <si>
    <t>Common Redstart</t>
  </si>
  <si>
    <t>CommonRedstart</t>
  </si>
  <si>
    <t>Bynkefugl</t>
  </si>
  <si>
    <t>Saxicola rubetra</t>
  </si>
  <si>
    <t>Whinchat</t>
  </si>
  <si>
    <t>Sortstrubet Bynkefugl</t>
  </si>
  <si>
    <t>Saxicola rubicola</t>
  </si>
  <si>
    <t>European Stonechat</t>
  </si>
  <si>
    <t>EuropeanStonechat</t>
  </si>
  <si>
    <t>Stenpikker</t>
  </si>
  <si>
    <t>Oenanthe oenanthe</t>
  </si>
  <si>
    <t>Northern Wheatear</t>
  </si>
  <si>
    <t>NorthernWheatear</t>
  </si>
  <si>
    <t>Ringdrossel</t>
  </si>
  <si>
    <t>Turdus torquatus</t>
  </si>
  <si>
    <t>Ring Ouzel</t>
  </si>
  <si>
    <t>RingOuzel</t>
  </si>
  <si>
    <t>Turdidae</t>
  </si>
  <si>
    <t>Solsort</t>
  </si>
  <si>
    <t>Turdus merula</t>
  </si>
  <si>
    <t>Common Blackbird</t>
  </si>
  <si>
    <t>CommonBlackbird</t>
  </si>
  <si>
    <t>Thrushes</t>
  </si>
  <si>
    <t>Sjagger</t>
  </si>
  <si>
    <t>Turdus pilaris</t>
  </si>
  <si>
    <t>Fieldfare</t>
  </si>
  <si>
    <t>Sangdrossel</t>
  </si>
  <si>
    <t>Turdus philomelos</t>
  </si>
  <si>
    <t>Song Thrush</t>
  </si>
  <si>
    <t>SongThrush</t>
  </si>
  <si>
    <t>Vindrossel</t>
  </si>
  <si>
    <t>Turdus iliacus</t>
  </si>
  <si>
    <t>Redwing</t>
  </si>
  <si>
    <t>-=</t>
  </si>
  <si>
    <t>Misteldrossel</t>
  </si>
  <si>
    <t>Turdus viscivorus</t>
  </si>
  <si>
    <t>Mistle Thrush</t>
  </si>
  <si>
    <t>MistleThrush</t>
  </si>
  <si>
    <t>GrÊshoppesanger</t>
  </si>
  <si>
    <t>Locustella naevia</t>
  </si>
  <si>
    <t>Common Grasshopper Warbler</t>
  </si>
  <si>
    <t>CommonGrasshopperWarbler</t>
  </si>
  <si>
    <t>Locustellidae</t>
  </si>
  <si>
    <t>Marsh warblers</t>
  </si>
  <si>
    <t>Flodsanger</t>
  </si>
  <si>
    <t>Locustella fluviatilis</t>
  </si>
  <si>
    <t>River Warbler</t>
  </si>
  <si>
    <t>RiverWarbler</t>
  </si>
  <si>
    <t>Savisanger</t>
  </si>
  <si>
    <t>Locustella luscinioides</t>
  </si>
  <si>
    <t>Savi's Warbler</t>
  </si>
  <si>
    <t>Savi'sWarbler</t>
  </si>
  <si>
    <t>Sivsanger</t>
  </si>
  <si>
    <t>Acrocephalus schoenobaenus</t>
  </si>
  <si>
    <t>Sedge Warbler</t>
  </si>
  <si>
    <t>SedgeWarbler</t>
  </si>
  <si>
    <t>Acrocephalidae</t>
  </si>
  <si>
    <t>Buskr¯rsanger</t>
  </si>
  <si>
    <t>Acrocephalus dumetorum</t>
  </si>
  <si>
    <t>Blyth's Reed Warbler</t>
  </si>
  <si>
    <t>Blyth'sReedWarbler</t>
  </si>
  <si>
    <t>KÊrsanger</t>
  </si>
  <si>
    <t>Acrocephalus palustris</t>
  </si>
  <si>
    <t>Marsh Warbler</t>
  </si>
  <si>
    <t>MarshWarbler</t>
  </si>
  <si>
    <t>R¯rsanger</t>
  </si>
  <si>
    <t>Acrocephalus scirpaceus</t>
  </si>
  <si>
    <t>Eurasian Reed Warbler</t>
  </si>
  <si>
    <t>EurasianReedWarbler</t>
  </si>
  <si>
    <t>Drosselr¯rsanger</t>
  </si>
  <si>
    <t>Acrocephalus arundinaceus</t>
  </si>
  <si>
    <t>Great Reed Warbler</t>
  </si>
  <si>
    <t>GreatReedWarbler</t>
  </si>
  <si>
    <t>Gulbug</t>
  </si>
  <si>
    <t>Hippolais icterina</t>
  </si>
  <si>
    <t>Icterine Warbler</t>
  </si>
  <si>
    <t>IcterineWarbler</t>
  </si>
  <si>
    <t>Foliage gleaners</t>
  </si>
  <si>
    <t>H¯gesanger</t>
  </si>
  <si>
    <t>Curruca nisoria</t>
  </si>
  <si>
    <t>Barred Warbler</t>
  </si>
  <si>
    <t>BarredWarbler</t>
  </si>
  <si>
    <t>Sylviidae</t>
  </si>
  <si>
    <t>GÊrdesanger</t>
  </si>
  <si>
    <t>Curruca curruca</t>
  </si>
  <si>
    <t>Lesser Whitethroat</t>
  </si>
  <si>
    <t>LesserWhitethroat</t>
  </si>
  <si>
    <t>Tornsanger</t>
  </si>
  <si>
    <t>Curruca communis</t>
  </si>
  <si>
    <t>Common Whitethroat</t>
  </si>
  <si>
    <t>CommonWhitethroat</t>
  </si>
  <si>
    <t>Havesanger</t>
  </si>
  <si>
    <t>Sylvia borin</t>
  </si>
  <si>
    <t>Garden Warbler</t>
  </si>
  <si>
    <t>GardenWarbler</t>
  </si>
  <si>
    <t>Munk</t>
  </si>
  <si>
    <t>Sylvia atricapilla</t>
  </si>
  <si>
    <t>Eurasian Blackcap</t>
  </si>
  <si>
    <t>EurasianBlackcap</t>
  </si>
  <si>
    <t>Lundsanger</t>
  </si>
  <si>
    <t>Phylloscopus trochiloides</t>
  </si>
  <si>
    <t>Greenish Warbler</t>
  </si>
  <si>
    <t>GreenishWarbler</t>
  </si>
  <si>
    <t>Phylloscopidae</t>
  </si>
  <si>
    <t>Skovsanger</t>
  </si>
  <si>
    <t>Phylloscopus sibilatrix</t>
  </si>
  <si>
    <t>Wood Warbler</t>
  </si>
  <si>
    <t>WoodWarbler</t>
  </si>
  <si>
    <t>Gransanger</t>
  </si>
  <si>
    <t>Phylloscopus collybita</t>
  </si>
  <si>
    <t>Common Chiffchaff</t>
  </si>
  <si>
    <t>CommonChiffchaff</t>
  </si>
  <si>
    <t>L¯vsanger</t>
  </si>
  <si>
    <t>Phylloscopus trochilus</t>
  </si>
  <si>
    <t>Willow Warbler</t>
  </si>
  <si>
    <t>WillowWarbler</t>
  </si>
  <si>
    <t>Fuglekonge</t>
  </si>
  <si>
    <t>Regulus regulus</t>
  </si>
  <si>
    <t>Goldcrest</t>
  </si>
  <si>
    <t>Regulidae</t>
  </si>
  <si>
    <t>Tit-like birds</t>
  </si>
  <si>
    <t>R¯dtoppet Fuglekonge</t>
  </si>
  <si>
    <t>Regulus ignicapilla</t>
  </si>
  <si>
    <t>Common Firecrest</t>
  </si>
  <si>
    <t>CommonFirecrest</t>
  </si>
  <si>
    <t>GrÂ Fluesnapper</t>
  </si>
  <si>
    <t>Muscicapa striata</t>
  </si>
  <si>
    <t>Spotted Flycatcher</t>
  </si>
  <si>
    <t>SpottedFlycatcher</t>
  </si>
  <si>
    <t>Flycatchers</t>
  </si>
  <si>
    <t>Lille Fluesnapper</t>
  </si>
  <si>
    <t>Ficedula parva</t>
  </si>
  <si>
    <t>Red-breasted Flycatcher</t>
  </si>
  <si>
    <t>RedbreastedFlycatcher</t>
  </si>
  <si>
    <t>Hvidhalset Fluesnapper</t>
  </si>
  <si>
    <t>Ficedula albicollis</t>
  </si>
  <si>
    <t>Collared Flycatcher</t>
  </si>
  <si>
    <t>CollaredFlycatcher</t>
  </si>
  <si>
    <t>Broget Fluesnapper</t>
  </si>
  <si>
    <t>Ficedula hypoleuca</t>
  </si>
  <si>
    <t>European Pied Flycatcher</t>
  </si>
  <si>
    <t>EuropeanPiedFlycatcher</t>
  </si>
  <si>
    <t>SkÊgmejse</t>
  </si>
  <si>
    <t>Panurus biarmicus</t>
  </si>
  <si>
    <t>Bearded Reedling</t>
  </si>
  <si>
    <t>BeardedReedling</t>
  </si>
  <si>
    <t>Panuridae</t>
  </si>
  <si>
    <t>Reedlings</t>
  </si>
  <si>
    <t>Halemejse</t>
  </si>
  <si>
    <t>Aegithalos caudatus</t>
  </si>
  <si>
    <t>Long-tailed Tit</t>
  </si>
  <si>
    <t>LongtailedTit</t>
  </si>
  <si>
    <t>Aegithalidae</t>
  </si>
  <si>
    <t>Sumpmejse</t>
  </si>
  <si>
    <t>Poecile palustris</t>
  </si>
  <si>
    <t>Marsh Tit</t>
  </si>
  <si>
    <t>MarshTit</t>
  </si>
  <si>
    <t>Paridae</t>
  </si>
  <si>
    <t>Fyrremejse</t>
  </si>
  <si>
    <t>Poecile montanus</t>
  </si>
  <si>
    <t>Willow Tit</t>
  </si>
  <si>
    <t>WillowTit</t>
  </si>
  <si>
    <t>Topmejse</t>
  </si>
  <si>
    <t>Lophophanes cristatus</t>
  </si>
  <si>
    <t>European Crested Tit</t>
  </si>
  <si>
    <t>EuropeanCrestedTit</t>
  </si>
  <si>
    <t>Sortmejse</t>
  </si>
  <si>
    <t>Periparus ater</t>
  </si>
  <si>
    <t>Coal Tit</t>
  </si>
  <si>
    <t>CoalTit</t>
  </si>
  <si>
    <t>BlÂmejse</t>
  </si>
  <si>
    <t>Cyanistes caeruleus</t>
  </si>
  <si>
    <t>Eurasian Blue Tit</t>
  </si>
  <si>
    <t>EurasianBlueTit</t>
  </si>
  <si>
    <t>Musvit</t>
  </si>
  <si>
    <t>Parus major</t>
  </si>
  <si>
    <t>Great Tit</t>
  </si>
  <si>
    <t>GreatTit</t>
  </si>
  <si>
    <t>SpÊtmejse</t>
  </si>
  <si>
    <t>Sitta europaea</t>
  </si>
  <si>
    <t>Eurasian Nuthatch</t>
  </si>
  <si>
    <t>EurasianNuthatch</t>
  </si>
  <si>
    <t>Sittidae</t>
  </si>
  <si>
    <t>TrÊl¯ber</t>
  </si>
  <si>
    <t>Certhia familiaris</t>
  </si>
  <si>
    <t>Eurasian Treecreeper</t>
  </si>
  <si>
    <t>EurasianTreecreeper</t>
  </si>
  <si>
    <t>Certhiidae</t>
  </si>
  <si>
    <t>KorttÂet TrÊl¯ber</t>
  </si>
  <si>
    <t>Certhia brachydactyla</t>
  </si>
  <si>
    <t>Short-toed Treecreeper</t>
  </si>
  <si>
    <t>ShorttoedTreecreeper</t>
  </si>
  <si>
    <t>Pungmejse</t>
  </si>
  <si>
    <t>Remiz pendulinus</t>
  </si>
  <si>
    <t>Eurasian Penduline Tit</t>
  </si>
  <si>
    <t>EurasianPendulineTit</t>
  </si>
  <si>
    <t>Remizidae</t>
  </si>
  <si>
    <t>Pirol</t>
  </si>
  <si>
    <t>Oriolus oriolus</t>
  </si>
  <si>
    <t>Eurasian Golden Oriole</t>
  </si>
  <si>
    <t>EurasianGoldenOriole</t>
  </si>
  <si>
    <t>Oriolidae</t>
  </si>
  <si>
    <t>Orioles</t>
  </si>
  <si>
    <t>R¯drygget Tornskade</t>
  </si>
  <si>
    <t>Lanius collurio</t>
  </si>
  <si>
    <t>Red-backed Shrike</t>
  </si>
  <si>
    <t>RedbackedShrike</t>
  </si>
  <si>
    <t>Laniidae</t>
  </si>
  <si>
    <t>Shrikes</t>
  </si>
  <si>
    <t>Stor Tornskade</t>
  </si>
  <si>
    <t>Lanius excubitor</t>
  </si>
  <si>
    <t>Great Grey Shrike</t>
  </si>
  <si>
    <t>GreatGreyShrike</t>
  </si>
  <si>
    <t>Skovskade</t>
  </si>
  <si>
    <t>Garrulus glandarius</t>
  </si>
  <si>
    <t>Eurasian Jay</t>
  </si>
  <si>
    <t>EurasianJay</t>
  </si>
  <si>
    <t>Omnivorous corvids</t>
  </si>
  <si>
    <t>Husskade</t>
  </si>
  <si>
    <t>Pica pica</t>
  </si>
  <si>
    <t>Eurasian Magpie</t>
  </si>
  <si>
    <t>EurasianMagpie</t>
  </si>
  <si>
    <t>N¯ddekrige</t>
  </si>
  <si>
    <t>Nucifraga caryocatactes</t>
  </si>
  <si>
    <t>Spotted Nutcracker</t>
  </si>
  <si>
    <t>SpottedNutcracker</t>
  </si>
  <si>
    <t>Allike</t>
  </si>
  <si>
    <t>Coloeus monedula</t>
  </si>
  <si>
    <t>Western Jackdaw</t>
  </si>
  <si>
    <t>WesternJackdaw</t>
  </si>
  <si>
    <t>RÂge</t>
  </si>
  <si>
    <t>Corvus frugilegus</t>
  </si>
  <si>
    <t>Rook</t>
  </si>
  <si>
    <t>Sortkrage</t>
  </si>
  <si>
    <t>Corvus corone</t>
  </si>
  <si>
    <t>Carrion Crow</t>
  </si>
  <si>
    <t>CarrionCrow</t>
  </si>
  <si>
    <t>GrÂkrage</t>
  </si>
  <si>
    <t>Corvus cornix</t>
  </si>
  <si>
    <t>Hooded Crow</t>
  </si>
  <si>
    <t>HoodedCrow</t>
  </si>
  <si>
    <t>Ravn</t>
  </si>
  <si>
    <t>Corvus corax</t>
  </si>
  <si>
    <t>Northern Raven</t>
  </si>
  <si>
    <t>NorthernRaven</t>
  </si>
  <si>
    <t>StÊr</t>
  </si>
  <si>
    <t>Sturnus vulgaris</t>
  </si>
  <si>
    <t>Common Starling</t>
  </si>
  <si>
    <t>CommonStarling</t>
  </si>
  <si>
    <t>Sturnidae</t>
  </si>
  <si>
    <t>Starlings</t>
  </si>
  <si>
    <t>GrÂspurv</t>
  </si>
  <si>
    <t>Passer domesticus</t>
  </si>
  <si>
    <t>House Sparrow</t>
  </si>
  <si>
    <t>HouseSparrow</t>
  </si>
  <si>
    <t>Passeridae</t>
  </si>
  <si>
    <t>Passerine seedeaters</t>
  </si>
  <si>
    <t>Skovspurv</t>
  </si>
  <si>
    <t>Passer montanus</t>
  </si>
  <si>
    <t>Eurasian Tree Sparrow</t>
  </si>
  <si>
    <t>EurasianTreeSparrow</t>
  </si>
  <si>
    <t>Bogfinke</t>
  </si>
  <si>
    <t>Fringilla coelebs</t>
  </si>
  <si>
    <t>Common Chaffinch</t>
  </si>
  <si>
    <t>CommonChaffinch</t>
  </si>
  <si>
    <t>Fringillidae</t>
  </si>
  <si>
    <t>KvÊkerfinke</t>
  </si>
  <si>
    <t>Fringilla montifringilla</t>
  </si>
  <si>
    <t>Brambling</t>
  </si>
  <si>
    <t>Gulirisk</t>
  </si>
  <si>
    <t>Serinus serinus</t>
  </si>
  <si>
    <t>European Serin</t>
  </si>
  <si>
    <t>EuropeanSerin</t>
  </si>
  <si>
    <t>Gr¯nirisk</t>
  </si>
  <si>
    <t>Chloris chloris</t>
  </si>
  <si>
    <t>European Greenfinch</t>
  </si>
  <si>
    <t>EuropeanGreenfinch</t>
  </si>
  <si>
    <t>Stillits</t>
  </si>
  <si>
    <t>Carduelis carduelis</t>
  </si>
  <si>
    <t>European Goldfinch</t>
  </si>
  <si>
    <t>EuropeanGoldfinch</t>
  </si>
  <si>
    <t>Gr¯nsisken</t>
  </si>
  <si>
    <t>Spinus spinus</t>
  </si>
  <si>
    <t>Eurasian Siskin</t>
  </si>
  <si>
    <t>EurasianSiskin</t>
  </si>
  <si>
    <t>Tornirisk</t>
  </si>
  <si>
    <t>Linaria cannabina</t>
  </si>
  <si>
    <t>Common Linnet</t>
  </si>
  <si>
    <t>CommonLinnet</t>
  </si>
  <si>
    <t>GrÂsisken, Lille (ssp. cabaret)</t>
  </si>
  <si>
    <t>Acanthis flammea cabaret</t>
  </si>
  <si>
    <t>Redpoll (ssp. cabaret)</t>
  </si>
  <si>
    <t>Redpoll(ssp.cabaret)</t>
  </si>
  <si>
    <t>Hvidvinget KorsnÊb</t>
  </si>
  <si>
    <t>Loxia leucoptera</t>
  </si>
  <si>
    <t>Two-barred Crossbill</t>
  </si>
  <si>
    <t>TwobarredCrossbill</t>
  </si>
  <si>
    <t>Lille KorsnÊb</t>
  </si>
  <si>
    <t>Loxia curvirostra</t>
  </si>
  <si>
    <t>Red Crossbill</t>
  </si>
  <si>
    <t>RedCrossbill</t>
  </si>
  <si>
    <t>Stor KorsnÊb</t>
  </si>
  <si>
    <t>Loxia pytyopsittacus</t>
  </si>
  <si>
    <t>Parrot Crossbill</t>
  </si>
  <si>
    <t>ParrotCrossbill</t>
  </si>
  <si>
    <t>Karmindompap</t>
  </si>
  <si>
    <t>Carpodacus erythrinus</t>
  </si>
  <si>
    <t>Common Rosefinch</t>
  </si>
  <si>
    <t>CommonRosefinch</t>
  </si>
  <si>
    <t>Dompap</t>
  </si>
  <si>
    <t>Pyrrhula pyrrhula</t>
  </si>
  <si>
    <t>Eurasian Bullfinch</t>
  </si>
  <si>
    <t>EurasianBullfinch</t>
  </si>
  <si>
    <t>Kernebider</t>
  </si>
  <si>
    <t>Coccothraustes coccothraustes</t>
  </si>
  <si>
    <t>Hawfinch</t>
  </si>
  <si>
    <t>Gulspurv</t>
  </si>
  <si>
    <t>Emberiza citrinella</t>
  </si>
  <si>
    <t>Yellowhammer</t>
  </si>
  <si>
    <t>Emberizidae</t>
  </si>
  <si>
    <t>Buntings</t>
  </si>
  <si>
    <t>Hortulan</t>
  </si>
  <si>
    <t>Emberiza hortulana</t>
  </si>
  <si>
    <t>Ortolan Bunting</t>
  </si>
  <si>
    <t>OrtolanBunting</t>
  </si>
  <si>
    <t>R¯rspurv</t>
  </si>
  <si>
    <t>Emberiza schoeniclus</t>
  </si>
  <si>
    <t>Common Reed Bunting</t>
  </si>
  <si>
    <t>CommonReedBunting</t>
  </si>
  <si>
    <t>BomlÊrke</t>
  </si>
  <si>
    <t>Emberiza calandra</t>
  </si>
  <si>
    <t>Corn Bunting</t>
  </si>
  <si>
    <t>CornBunting</t>
  </si>
  <si>
    <t>foraging_guild_rahbek</t>
  </si>
  <si>
    <t>Marine "something"</t>
  </si>
  <si>
    <t>Diving duck</t>
  </si>
  <si>
    <t>Marsh wablers</t>
  </si>
  <si>
    <t>Carsten Comment</t>
  </si>
  <si>
    <t>Not breeding</t>
  </si>
  <si>
    <t>Super rare breeding bird (1 locality?)</t>
  </si>
  <si>
    <t>Introduced species</t>
  </si>
  <si>
    <t>Super rare breeding bird</t>
  </si>
  <si>
    <t xml:space="preserve"> </t>
  </si>
  <si>
    <t>super rare breeding bird</t>
  </si>
  <si>
    <t>rare breeding bird</t>
  </si>
  <si>
    <t>Domestic bird</t>
  </si>
  <si>
    <t>Very rare</t>
  </si>
  <si>
    <t>Breeding</t>
  </si>
  <si>
    <t>very rare</t>
  </si>
  <si>
    <t>very rare breeding bird</t>
  </si>
  <si>
    <t>very rare breeding birds</t>
  </si>
  <si>
    <t>not breeding</t>
  </si>
  <si>
    <t>not_breeding</t>
  </si>
  <si>
    <t>introduced</t>
  </si>
  <si>
    <t>rare</t>
  </si>
  <si>
    <t>domestic</t>
  </si>
  <si>
    <t>Nigthjars</t>
  </si>
  <si>
    <t>Beeeaters</t>
  </si>
  <si>
    <t>Hoopoes</t>
  </si>
  <si>
    <t>Dippers</t>
  </si>
  <si>
    <t>foraging_guild_consensus</t>
  </si>
  <si>
    <t>occ_a1_DOF</t>
  </si>
  <si>
    <t>occ_a2_DOF</t>
  </si>
  <si>
    <t>Migration_migAtlas</t>
  </si>
  <si>
    <t>partial</t>
  </si>
  <si>
    <t>resident</t>
  </si>
  <si>
    <t>short-distance</t>
  </si>
  <si>
    <t>long-distnace</t>
  </si>
  <si>
    <t>NA</t>
  </si>
  <si>
    <t>comment</t>
  </si>
  <si>
    <t>unknown</t>
  </si>
  <si>
    <t>not in book</t>
  </si>
  <si>
    <t>sedentary</t>
  </si>
  <si>
    <t>long-distanc</t>
  </si>
  <si>
    <t xml:space="preserve">not sure </t>
  </si>
  <si>
    <t xml:space="preserve">unsure </t>
  </si>
  <si>
    <t>Migration_AtlasIII</t>
  </si>
  <si>
    <t xml:space="preserve">no breeding birds ringed </t>
  </si>
  <si>
    <t>no info on breeding birds ringed</t>
  </si>
  <si>
    <t>short distance</t>
  </si>
  <si>
    <t>long distance</t>
  </si>
  <si>
    <t xml:space="preserve">short &amp; long </t>
  </si>
  <si>
    <t>not a lot of info</t>
  </si>
  <si>
    <t xml:space="preserve">one subsaharan </t>
  </si>
  <si>
    <t>one mauritania</t>
  </si>
  <si>
    <t>few morocco</t>
  </si>
  <si>
    <t>also found in subsaharan africa</t>
  </si>
  <si>
    <t>also greenland / canada</t>
  </si>
  <si>
    <t xml:space="preserve">some stay in europe </t>
  </si>
  <si>
    <t>no records in winter</t>
  </si>
  <si>
    <t xml:space="preserve">NA </t>
  </si>
  <si>
    <t>little info</t>
  </si>
  <si>
    <t>occ_sums</t>
  </si>
  <si>
    <t>nr_records</t>
  </si>
  <si>
    <t>Migration_a3_DOF</t>
  </si>
  <si>
    <t xml:space="preserve">remove </t>
  </si>
  <si>
    <t>Migration_a3_DOF_description</t>
  </si>
  <si>
    <t>Row Labels</t>
  </si>
  <si>
    <t>long-distance migrant</t>
  </si>
  <si>
    <t>resident and short-distance migrant</t>
  </si>
  <si>
    <t>short- and long-distance migrant</t>
  </si>
  <si>
    <t>short-distance migrant</t>
  </si>
  <si>
    <t>Grand Total</t>
  </si>
  <si>
    <t>Count of Migration_a3_DOF_description</t>
  </si>
  <si>
    <t>rare_quant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</si>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</sst>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  <font>
      <b/>
      <i/>
      <sz val="12"/>
      <name val="Aptos Narrow"/>
      <scheme val="minor"/>
    </font>
    <font>
      <i/>
      <sz val="12"/>
      <name val="Aptos Narrow"/>
      <scheme val="minor"/>
    </font>
    <font>
      <i/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8" fillId="34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2" fillId="34" borderId="0" xfId="0" applyFont="1" applyFill="1" applyAlignment="1">
      <alignment horizontal="left" vertical="center"/>
    </xf>
    <xf numFmtId="0" fontId="18" fillId="34" borderId="0" xfId="0" applyFont="1" applyFill="1" applyAlignment="1">
      <alignment horizontal="left" vertical="center"/>
    </xf>
    <xf numFmtId="1" fontId="18" fillId="34" borderId="0" xfId="0" applyNumberFormat="1" applyFont="1" applyFill="1" applyAlignment="1">
      <alignment horizontal="center" vertical="center"/>
    </xf>
    <xf numFmtId="0" fontId="0" fillId="0" borderId="0" xfId="0" pivotButton="1"/>
    <xf numFmtId="0" fontId="21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center" vertical="center"/>
    </xf>
    <xf numFmtId="1" fontId="18" fillId="0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birdTraits-merged-all.xlsx]Sheet1!PivotTable2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A7-1047-811B-291C6859CD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A7-1047-811B-291C6859CD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A7-1047-811B-291C6859CD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A7-1047-811B-291C6859CD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DA7-1047-811B-291C6859CD69}"/>
              </c:ext>
            </c:extLst>
          </c:dPt>
          <c:cat>
            <c:strRef>
              <c:f>Sheet1!$A$4:$A$9</c:f>
              <c:strCache>
                <c:ptCount val="5"/>
                <c:pt idx="0">
                  <c:v>long-distance migrant</c:v>
                </c:pt>
                <c:pt idx="1">
                  <c:v>resident</c:v>
                </c:pt>
                <c:pt idx="2">
                  <c:v>resident and short-distance migrant</c:v>
                </c:pt>
                <c:pt idx="3">
                  <c:v>short- and long-distance migrant</c:v>
                </c:pt>
                <c:pt idx="4">
                  <c:v>short-distance migrant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59</c:v>
                </c:pt>
                <c:pt idx="1">
                  <c:v>46</c:v>
                </c:pt>
                <c:pt idx="2">
                  <c:v>41</c:v>
                </c:pt>
                <c:pt idx="3">
                  <c:v>9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D-A44B-84BF-777AD06C7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882650</xdr:colOff>
      <xdr:row>7</xdr:row>
      <xdr:rowOff>127000</xdr:rowOff>
    </xdr:from>
    <xdr:to>
      <xdr:col>4</xdr:col>
      <xdr:colOff>2082800</xdr:colOff>
      <xdr:row>32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23B561-A3F6-8F1A-A74E-0C94F79EB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ssel Mulder" refreshedDate="45903.575466550923" createdVersion="8" refreshedVersion="8" minRefreshableVersion="3" recordCount="229" xr:uid="{59ABAB41-0182-C543-8F04-C6635D12F12C}">
  <cacheSource type="worksheet">
    <worksheetSource ref="M1:M1048576" sheet="birdTraits-merged"/>
  </cacheSource>
  <cacheFields count="1">
    <cacheField name="Migration_a3_DOF_description" numFmtId="0">
      <sharedItems containsBlank="1" count="7">
        <s v="resident and short-distance migrant"/>
        <s v="resident"/>
        <s v="short- and long-distance migrant"/>
        <s v=""/>
        <s v="long-distance migrant"/>
        <s v="short-distance migra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x v="0"/>
  </r>
  <r>
    <x v="1"/>
  </r>
  <r>
    <x v="1"/>
  </r>
  <r>
    <x v="0"/>
  </r>
  <r>
    <x v="2"/>
  </r>
  <r>
    <x v="3"/>
  </r>
  <r>
    <x v="4"/>
  </r>
  <r>
    <x v="0"/>
  </r>
  <r>
    <x v="0"/>
  </r>
  <r>
    <x v="4"/>
  </r>
  <r>
    <x v="4"/>
  </r>
  <r>
    <x v="3"/>
  </r>
  <r>
    <x v="5"/>
  </r>
  <r>
    <x v="5"/>
  </r>
  <r>
    <x v="5"/>
  </r>
  <r>
    <x v="0"/>
  </r>
  <r>
    <x v="0"/>
  </r>
  <r>
    <x v="4"/>
  </r>
  <r>
    <x v="5"/>
  </r>
  <r>
    <x v="5"/>
  </r>
  <r>
    <x v="3"/>
  </r>
  <r>
    <x v="0"/>
  </r>
  <r>
    <x v="5"/>
  </r>
  <r>
    <x v="1"/>
  </r>
  <r>
    <x v="3"/>
  </r>
  <r>
    <x v="0"/>
  </r>
  <r>
    <x v="0"/>
  </r>
  <r>
    <x v="5"/>
  </r>
  <r>
    <x v="5"/>
  </r>
  <r>
    <x v="3"/>
  </r>
  <r>
    <x v="5"/>
  </r>
  <r>
    <x v="5"/>
  </r>
  <r>
    <x v="5"/>
  </r>
  <r>
    <x v="5"/>
  </r>
  <r>
    <x v="5"/>
  </r>
  <r>
    <x v="4"/>
  </r>
  <r>
    <x v="3"/>
  </r>
  <r>
    <x v="5"/>
  </r>
  <r>
    <x v="3"/>
  </r>
  <r>
    <x v="4"/>
  </r>
  <r>
    <x v="4"/>
  </r>
  <r>
    <x v="3"/>
  </r>
  <r>
    <x v="5"/>
  </r>
  <r>
    <x v="2"/>
  </r>
  <r>
    <x v="5"/>
  </r>
  <r>
    <x v="4"/>
  </r>
  <r>
    <x v="4"/>
  </r>
  <r>
    <x v="0"/>
  </r>
  <r>
    <x v="2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5"/>
  </r>
  <r>
    <x v="0"/>
  </r>
  <r>
    <x v="0"/>
  </r>
  <r>
    <x v="2"/>
  </r>
  <r>
    <x v="0"/>
  </r>
  <r>
    <x v="4"/>
  </r>
  <r>
    <x v="3"/>
  </r>
  <r>
    <x v="5"/>
  </r>
  <r>
    <x v="5"/>
  </r>
  <r>
    <x v="2"/>
  </r>
  <r>
    <x v="4"/>
  </r>
  <r>
    <x v="0"/>
  </r>
  <r>
    <x v="4"/>
  </r>
  <r>
    <x v="4"/>
  </r>
  <r>
    <x v="4"/>
  </r>
  <r>
    <x v="2"/>
  </r>
  <r>
    <x v="4"/>
  </r>
  <r>
    <x v="2"/>
  </r>
  <r>
    <x v="5"/>
  </r>
  <r>
    <x v="5"/>
  </r>
  <r>
    <x v="5"/>
  </r>
  <r>
    <x v="4"/>
  </r>
  <r>
    <x v="3"/>
  </r>
  <r>
    <x v="1"/>
  </r>
  <r>
    <x v="5"/>
  </r>
  <r>
    <x v="0"/>
  </r>
  <r>
    <x v="1"/>
  </r>
  <r>
    <x v="4"/>
  </r>
  <r>
    <x v="1"/>
  </r>
  <r>
    <x v="4"/>
  </r>
  <r>
    <x v="4"/>
  </r>
  <r>
    <x v="0"/>
  </r>
  <r>
    <x v="4"/>
  </r>
  <r>
    <x v="0"/>
  </r>
  <r>
    <x v="2"/>
  </r>
  <r>
    <x v="1"/>
  </r>
  <r>
    <x v="1"/>
  </r>
  <r>
    <x v="1"/>
  </r>
  <r>
    <x v="4"/>
  </r>
  <r>
    <x v="0"/>
  </r>
  <r>
    <x v="0"/>
  </r>
  <r>
    <x v="0"/>
  </r>
  <r>
    <x v="4"/>
  </r>
  <r>
    <x v="0"/>
  </r>
  <r>
    <x v="5"/>
  </r>
  <r>
    <x v="4"/>
  </r>
  <r>
    <x v="3"/>
  </r>
  <r>
    <x v="4"/>
  </r>
  <r>
    <x v="4"/>
  </r>
  <r>
    <x v="4"/>
  </r>
  <r>
    <x v="1"/>
  </r>
  <r>
    <x v="0"/>
  </r>
  <r>
    <x v="4"/>
  </r>
  <r>
    <x v="0"/>
  </r>
  <r>
    <x v="5"/>
  </r>
  <r>
    <x v="4"/>
  </r>
  <r>
    <x v="0"/>
  </r>
  <r>
    <x v="4"/>
  </r>
  <r>
    <x v="1"/>
  </r>
  <r>
    <x v="1"/>
  </r>
  <r>
    <x v="0"/>
  </r>
  <r>
    <x v="5"/>
  </r>
  <r>
    <x v="1"/>
  </r>
  <r>
    <x v="0"/>
  </r>
  <r>
    <x v="1"/>
  </r>
  <r>
    <x v="1"/>
  </r>
  <r>
    <x v="1"/>
  </r>
  <r>
    <x v="1"/>
  </r>
  <r>
    <x v="4"/>
  </r>
  <r>
    <x v="4"/>
  </r>
  <r>
    <x v="4"/>
  </r>
  <r>
    <x v="1"/>
  </r>
  <r>
    <x v="4"/>
  </r>
  <r>
    <x v="1"/>
  </r>
  <r>
    <x v="1"/>
  </r>
  <r>
    <x v="3"/>
  </r>
  <r>
    <x v="0"/>
  </r>
  <r>
    <x v="1"/>
  </r>
  <r>
    <x v="3"/>
  </r>
  <r>
    <x v="4"/>
  </r>
  <r>
    <x v="4"/>
  </r>
  <r>
    <x v="0"/>
  </r>
  <r>
    <x v="5"/>
  </r>
  <r>
    <x v="1"/>
  </r>
  <r>
    <x v="1"/>
  </r>
  <r>
    <x v="4"/>
  </r>
  <r>
    <x v="4"/>
  </r>
  <r>
    <x v="4"/>
  </r>
  <r>
    <x v="1"/>
  </r>
  <r>
    <x v="5"/>
  </r>
  <r>
    <x v="4"/>
  </r>
  <r>
    <x v="4"/>
  </r>
  <r>
    <x v="4"/>
  </r>
  <r>
    <x v="1"/>
  </r>
  <r>
    <x v="0"/>
  </r>
  <r>
    <x v="0"/>
  </r>
  <r>
    <x v="1"/>
  </r>
  <r>
    <x v="5"/>
  </r>
  <r>
    <x v="4"/>
  </r>
  <r>
    <x v="3"/>
  </r>
  <r>
    <x v="5"/>
  </r>
  <r>
    <x v="5"/>
  </r>
  <r>
    <x v="5"/>
  </r>
  <r>
    <x v="0"/>
  </r>
  <r>
    <x v="4"/>
  </r>
  <r>
    <x v="4"/>
  </r>
  <r>
    <x v="4"/>
  </r>
  <r>
    <x v="1"/>
  </r>
  <r>
    <x v="4"/>
  </r>
  <r>
    <x v="4"/>
  </r>
  <r>
    <x v="1"/>
  </r>
  <r>
    <x v="0"/>
  </r>
  <r>
    <x v="1"/>
  </r>
  <r>
    <x v="1"/>
  </r>
  <r>
    <x v="1"/>
  </r>
  <r>
    <x v="0"/>
  </r>
  <r>
    <x v="4"/>
  </r>
  <r>
    <x v="5"/>
  </r>
  <r>
    <x v="4"/>
  </r>
  <r>
    <x v="4"/>
  </r>
  <r>
    <x v="4"/>
  </r>
  <r>
    <x v="1"/>
  </r>
  <r>
    <x v="1"/>
  </r>
  <r>
    <x v="1"/>
  </r>
  <r>
    <x v="0"/>
  </r>
  <r>
    <x v="5"/>
  </r>
  <r>
    <x v="5"/>
  </r>
  <r>
    <x v="5"/>
  </r>
  <r>
    <x v="5"/>
  </r>
  <r>
    <x v="4"/>
  </r>
  <r>
    <x v="4"/>
  </r>
  <r>
    <x v="5"/>
  </r>
  <r>
    <x v="5"/>
  </r>
  <r>
    <x v="1"/>
  </r>
  <r>
    <x v="0"/>
  </r>
  <r>
    <x v="5"/>
  </r>
  <r>
    <x v="5"/>
  </r>
  <r>
    <x v="4"/>
  </r>
  <r>
    <x v="1"/>
  </r>
  <r>
    <x v="5"/>
  </r>
  <r>
    <x v="1"/>
  </r>
  <r>
    <x v="5"/>
  </r>
  <r>
    <x v="5"/>
  </r>
  <r>
    <x v="3"/>
  </r>
  <r>
    <x v="5"/>
  </r>
  <r>
    <x v="5"/>
  </r>
  <r>
    <x v="0"/>
  </r>
  <r>
    <x v="0"/>
  </r>
  <r>
    <x v="2"/>
  </r>
  <r>
    <x v="1"/>
  </r>
  <r>
    <x v="3"/>
  </r>
  <r>
    <x v="0"/>
  </r>
  <r>
    <x v="1"/>
  </r>
  <r>
    <x v="5"/>
  </r>
  <r>
    <x v="1"/>
  </r>
  <r>
    <x v="0"/>
  </r>
  <r>
    <x v="5"/>
  </r>
  <r>
    <x v="5"/>
  </r>
  <r>
    <x v="5"/>
  </r>
  <r>
    <x v="0"/>
  </r>
  <r>
    <x v="3"/>
  </r>
  <r>
    <x v="1"/>
  </r>
  <r>
    <x v="0"/>
  </r>
  <r>
    <x v="1"/>
  </r>
  <r>
    <x v="1"/>
  </r>
  <r>
    <x v="1"/>
  </r>
  <r>
    <x v="1"/>
  </r>
  <r>
    <x v="1"/>
  </r>
  <r>
    <x v="5"/>
  </r>
  <r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6D153-7537-594C-9220-42EEFD1FD5A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">
    <pivotField axis="axisRow" dataField="1" showAll="0" sortType="ascending">
      <items count="8">
        <item h="1" x="3"/>
        <item x="4"/>
        <item x="1"/>
        <item x="0"/>
        <item x="2"/>
        <item x="5"/>
        <item h="1" x="6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igration_a3_DOF_description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7BD8-942D-B14D-BC97-3359E0D31A09}">
  <dimension ref="A1:BT229"/>
  <sheetViews>
    <sheetView topLeftCell="E1" zoomScale="111" zoomScaleNormal="100" workbookViewId="0">
      <pane xSplit="1" ySplit="1" topLeftCell="R2" activePane="bottomRight" state="frozen"/>
      <selection activeCell="E1" sqref="E1"/>
      <selection pane="topRight" activeCell="F1" sqref="F1"/>
      <selection pane="bottomLeft" activeCell="E2" sqref="E2"/>
      <selection pane="bottomRight" activeCell="V1" activeCellId="9" sqref="E1:E1048576 F1:F1048576 I1:I1048576 J1:J1048576 M1:M1048576 Q1:Q1048576 R1:R1048576 S1:S1048576 T1:T1048576 V1:V1048576"/>
    </sheetView>
  </sheetViews>
  <sheetFormatPr baseColWidth="10" defaultRowHeight="16"/>
  <cols>
    <col min="5" max="5" width="27.6640625" style="12" bestFit="1" customWidth="1"/>
    <col min="6" max="6" width="34" style="15" bestFit="1" customWidth="1"/>
    <col min="7" max="7" width="18.83203125" style="15" customWidth="1"/>
    <col min="8" max="8" width="27.6640625" style="15" bestFit="1" customWidth="1"/>
    <col min="9" max="9" width="16.6640625" bestFit="1" customWidth="1"/>
    <col min="10" max="10" width="15.5" bestFit="1" customWidth="1"/>
    <col min="11" max="12" width="16.33203125" bestFit="1" customWidth="1"/>
    <col min="13" max="13" width="30.33203125" bestFit="1" customWidth="1"/>
    <col min="14" max="14" width="33.83203125" bestFit="1" customWidth="1"/>
    <col min="15" max="15" width="26.6640625" bestFit="1" customWidth="1"/>
    <col min="16" max="16" width="19.6640625" customWidth="1"/>
    <col min="17" max="17" width="27.83203125" customWidth="1"/>
    <col min="18" max="19" width="12.1640625" bestFit="1" customWidth="1"/>
    <col min="20" max="22" width="12.1640625" customWidth="1"/>
    <col min="24" max="26" width="10.83203125" customWidth="1"/>
    <col min="27" max="27" width="32.33203125" customWidth="1"/>
    <col min="28" max="28" width="11.6640625" bestFit="1" customWidth="1"/>
  </cols>
  <sheetData>
    <row r="1" spans="1:72" s="9" customFormat="1">
      <c r="A1" s="8"/>
      <c r="B1" s="8" t="s">
        <v>0</v>
      </c>
      <c r="C1" s="8" t="s">
        <v>1</v>
      </c>
      <c r="D1" s="8" t="s">
        <v>2</v>
      </c>
      <c r="E1" s="10" t="s">
        <v>3</v>
      </c>
      <c r="F1" s="13" t="s">
        <v>4</v>
      </c>
      <c r="G1" s="13" t="s">
        <v>5</v>
      </c>
      <c r="H1" s="13" t="s">
        <v>6</v>
      </c>
      <c r="I1" s="8" t="s">
        <v>7</v>
      </c>
      <c r="J1" s="8" t="s">
        <v>8</v>
      </c>
      <c r="K1" s="8" t="s">
        <v>9</v>
      </c>
      <c r="L1" s="8" t="s">
        <v>1091</v>
      </c>
      <c r="M1" s="8" t="s">
        <v>1093</v>
      </c>
      <c r="N1" s="8" t="s">
        <v>10</v>
      </c>
      <c r="O1" s="8" t="s">
        <v>11</v>
      </c>
      <c r="P1" s="8" t="s">
        <v>1030</v>
      </c>
      <c r="Q1" s="8" t="s">
        <v>1057</v>
      </c>
      <c r="R1" s="8" t="s">
        <v>1058</v>
      </c>
      <c r="S1" s="8" t="s">
        <v>1059</v>
      </c>
      <c r="T1" s="8" t="s">
        <v>12</v>
      </c>
      <c r="U1" s="8" t="s">
        <v>1089</v>
      </c>
      <c r="V1" s="8" t="s">
        <v>1090</v>
      </c>
      <c r="W1" s="8" t="s">
        <v>13</v>
      </c>
      <c r="X1" s="8" t="s">
        <v>14</v>
      </c>
      <c r="Y1" s="8" t="s">
        <v>15</v>
      </c>
      <c r="Z1" s="8" t="s">
        <v>16</v>
      </c>
      <c r="AA1" s="8" t="s">
        <v>1034</v>
      </c>
      <c r="AB1" s="8" t="s">
        <v>1049</v>
      </c>
      <c r="AC1" s="8" t="s">
        <v>1050</v>
      </c>
      <c r="AD1" s="8" t="s">
        <v>1051</v>
      </c>
      <c r="AE1" s="8" t="s">
        <v>1101</v>
      </c>
      <c r="AF1" s="8" t="s">
        <v>1052</v>
      </c>
      <c r="AG1" s="9" t="s">
        <v>1092</v>
      </c>
    </row>
    <row r="2" spans="1:72">
      <c r="A2" s="6">
        <v>48</v>
      </c>
      <c r="B2" s="6">
        <v>48</v>
      </c>
      <c r="C2" s="6">
        <v>2690</v>
      </c>
      <c r="D2" s="6" t="s">
        <v>233</v>
      </c>
      <c r="E2" s="11" t="s">
        <v>234</v>
      </c>
      <c r="F2" s="14" t="s">
        <v>235</v>
      </c>
      <c r="G2" s="14" t="s">
        <v>236</v>
      </c>
      <c r="H2" s="14" t="s">
        <v>234</v>
      </c>
      <c r="I2" s="6" t="s">
        <v>205</v>
      </c>
      <c r="J2" s="6" t="s">
        <v>206</v>
      </c>
      <c r="K2" s="6">
        <v>2</v>
      </c>
      <c r="L2" s="6">
        <v>1.5</v>
      </c>
      <c r="M2" s="6" t="str" cm="1">
        <f t="array" ref="M2">_xlfn.SWITCH(L2,
1,"resident",
1.5,"resident and short-distance migrant",
2,"short-distance migrant",
2.5,"short- and long-distance migrant",
3,"long-distance migrant",
"")</f>
        <v>resident and short-distance migrant</v>
      </c>
      <c r="N2" s="6" t="s">
        <v>207</v>
      </c>
      <c r="O2" s="6" t="s">
        <v>207</v>
      </c>
      <c r="P2" s="6"/>
      <c r="Q2" s="6" t="str">
        <f t="shared" ref="Q2:Q12" si="0">IF(NOT(ISBLANK(P2)), P2, IF(NOT(ISBLANK(O2)), O2, N2))</f>
        <v>Diurnal raptors</v>
      </c>
      <c r="R2" s="6">
        <v>29.00692841</v>
      </c>
      <c r="S2" s="6">
        <v>54.872979209999997</v>
      </c>
      <c r="T2" s="6">
        <v>34.688221710000001</v>
      </c>
      <c r="U2" s="6">
        <f t="shared" ref="U2:U65" si="1">R2+S2+T2</f>
        <v>118.56812933</v>
      </c>
      <c r="V2" s="7">
        <f>U2/0.046</f>
        <v>2577.5680289130437</v>
      </c>
      <c r="W2" s="6" t="s">
        <v>24</v>
      </c>
      <c r="X2" s="6" t="s">
        <v>24</v>
      </c>
      <c r="Y2" s="6" t="s">
        <v>30</v>
      </c>
      <c r="Z2" s="6" t="s">
        <v>31</v>
      </c>
      <c r="AA2" s="6"/>
      <c r="AB2" s="6"/>
      <c r="AC2" s="6"/>
      <c r="AD2" s="6"/>
      <c r="AE2" s="6" t="str">
        <f t="shared" ref="AE2:AE65" si="2">IF(V2&lt;5,1,"")</f>
        <v/>
      </c>
      <c r="AF2" s="6"/>
      <c r="AG2">
        <v>1</v>
      </c>
    </row>
    <row r="3" spans="1:72">
      <c r="A3" s="6">
        <v>50</v>
      </c>
      <c r="B3" s="6">
        <v>50</v>
      </c>
      <c r="C3" s="6">
        <v>2960</v>
      </c>
      <c r="D3" s="6" t="s">
        <v>241</v>
      </c>
      <c r="E3" s="11" t="s">
        <v>242</v>
      </c>
      <c r="F3" s="14" t="s">
        <v>243</v>
      </c>
      <c r="G3" s="14" t="s">
        <v>244</v>
      </c>
      <c r="H3" s="14" t="s">
        <v>242</v>
      </c>
      <c r="I3" s="6" t="s">
        <v>205</v>
      </c>
      <c r="J3" s="6" t="s">
        <v>206</v>
      </c>
      <c r="K3" s="6">
        <v>2</v>
      </c>
      <c r="L3" s="6">
        <v>1</v>
      </c>
      <c r="M3" s="6" t="str" cm="1">
        <f t="array" ref="M3">_xlfn.SWITCH(L3,
1,"resident",
1.5,"resident and short-distance migrant",
2,"short-distance migrant",
2.5,"short- and long-distance migrant",
3,"long-distance migrant",
"")</f>
        <v>resident</v>
      </c>
      <c r="N3" s="6"/>
      <c r="O3" s="6" t="s">
        <v>207</v>
      </c>
      <c r="P3" s="6"/>
      <c r="Q3" s="6" t="str">
        <f t="shared" si="0"/>
        <v>Diurnal raptors</v>
      </c>
      <c r="R3" s="6">
        <v>0</v>
      </c>
      <c r="S3" s="6">
        <v>0</v>
      </c>
      <c r="T3" s="6">
        <v>0.23094688199999999</v>
      </c>
      <c r="U3" s="6">
        <f t="shared" si="1"/>
        <v>0.23094688199999999</v>
      </c>
      <c r="V3" s="7">
        <f t="shared" ref="V3:V66" si="3">U3/0.046</f>
        <v>5.0205843913043475</v>
      </c>
      <c r="W3" s="6" t="s">
        <v>24</v>
      </c>
      <c r="X3" s="6" t="s">
        <v>50</v>
      </c>
      <c r="Y3" s="6" t="s">
        <v>24</v>
      </c>
      <c r="Z3" s="6" t="s">
        <v>69</v>
      </c>
      <c r="AA3" s="6"/>
      <c r="AB3" s="6"/>
      <c r="AC3" s="6"/>
      <c r="AD3" s="6"/>
      <c r="AE3" s="6" t="str">
        <f t="shared" si="2"/>
        <v/>
      </c>
      <c r="AF3" s="6"/>
    </row>
    <row r="4" spans="1:72">
      <c r="A4" s="6">
        <v>47</v>
      </c>
      <c r="B4" s="6">
        <v>47</v>
      </c>
      <c r="C4" s="6">
        <v>2670</v>
      </c>
      <c r="D4" s="6" t="s">
        <v>229</v>
      </c>
      <c r="E4" s="11" t="s">
        <v>230</v>
      </c>
      <c r="F4" s="14" t="s">
        <v>231</v>
      </c>
      <c r="G4" s="14" t="s">
        <v>232</v>
      </c>
      <c r="H4" s="14" t="s">
        <v>230</v>
      </c>
      <c r="I4" s="6" t="s">
        <v>205</v>
      </c>
      <c r="J4" s="6" t="s">
        <v>206</v>
      </c>
      <c r="K4" s="6">
        <v>2</v>
      </c>
      <c r="L4" s="6">
        <v>1</v>
      </c>
      <c r="M4" s="6" t="str" cm="1">
        <f t="array" ref="M4">_xlfn.SWITCH(L4,
1,"resident",
1.5,"resident and short-distance migrant",
2,"short-distance migrant",
2.5,"short- and long-distance migrant",
3,"long-distance migrant",
"")</f>
        <v>resident</v>
      </c>
      <c r="N4" s="6" t="s">
        <v>207</v>
      </c>
      <c r="O4" s="6" t="s">
        <v>207</v>
      </c>
      <c r="P4" s="6"/>
      <c r="Q4" s="6" t="str">
        <f t="shared" si="0"/>
        <v>Diurnal raptors</v>
      </c>
      <c r="R4" s="6">
        <v>9.5612009239999995</v>
      </c>
      <c r="S4" s="6">
        <v>28.360277140000001</v>
      </c>
      <c r="T4" s="6">
        <v>20.230946880000001</v>
      </c>
      <c r="U4" s="6">
        <f t="shared" si="1"/>
        <v>58.152424944000003</v>
      </c>
      <c r="V4" s="7">
        <f t="shared" si="3"/>
        <v>1264.1831509565218</v>
      </c>
      <c r="W4" s="6" t="s">
        <v>24</v>
      </c>
      <c r="X4" s="6" t="s">
        <v>24</v>
      </c>
      <c r="Y4" s="6" t="s">
        <v>30</v>
      </c>
      <c r="Z4" s="6" t="s">
        <v>31</v>
      </c>
      <c r="AA4" s="6"/>
      <c r="AB4" s="6"/>
      <c r="AC4" s="6"/>
      <c r="AD4" s="6"/>
      <c r="AE4" s="6" t="str">
        <f t="shared" si="2"/>
        <v/>
      </c>
      <c r="AF4" s="6"/>
    </row>
    <row r="5" spans="1:72">
      <c r="A5" s="6">
        <v>49</v>
      </c>
      <c r="B5" s="6">
        <v>49</v>
      </c>
      <c r="C5" s="6">
        <v>2870</v>
      </c>
      <c r="D5" s="6" t="s">
        <v>237</v>
      </c>
      <c r="E5" s="11" t="s">
        <v>238</v>
      </c>
      <c r="F5" s="14" t="s">
        <v>239</v>
      </c>
      <c r="G5" s="14" t="s">
        <v>240</v>
      </c>
      <c r="H5" s="14" t="s">
        <v>238</v>
      </c>
      <c r="I5" s="6" t="s">
        <v>205</v>
      </c>
      <c r="J5" s="6" t="s">
        <v>206</v>
      </c>
      <c r="K5" s="6">
        <v>2</v>
      </c>
      <c r="L5" s="6">
        <v>1.5</v>
      </c>
      <c r="M5" s="6" t="str" cm="1">
        <f t="array" ref="M5">_xlfn.SWITCH(L5,
1,"resident",
1.5,"resident and short-distance migrant",
2,"short-distance migrant",
2.5,"short- and long-distance migrant",
3,"long-distance migrant",
"")</f>
        <v>resident and short-distance migrant</v>
      </c>
      <c r="N5" s="6" t="s">
        <v>207</v>
      </c>
      <c r="O5" s="6" t="s">
        <v>207</v>
      </c>
      <c r="P5" s="6"/>
      <c r="Q5" s="6" t="str">
        <f t="shared" si="0"/>
        <v>Diurnal raptors</v>
      </c>
      <c r="R5" s="6">
        <v>40.739030020000001</v>
      </c>
      <c r="S5" s="6">
        <v>71.177829099999997</v>
      </c>
      <c r="T5" s="6">
        <v>75.150115470000003</v>
      </c>
      <c r="U5" s="6">
        <f t="shared" si="1"/>
        <v>187.06697459</v>
      </c>
      <c r="V5" s="7">
        <f t="shared" si="3"/>
        <v>4066.6733606521739</v>
      </c>
      <c r="W5" s="6" t="s">
        <v>24</v>
      </c>
      <c r="X5" s="6" t="s">
        <v>24</v>
      </c>
      <c r="Y5" s="6" t="s">
        <v>24</v>
      </c>
      <c r="Z5" s="6" t="s">
        <v>25</v>
      </c>
      <c r="AA5" s="6"/>
      <c r="AB5" s="6"/>
      <c r="AC5" s="6"/>
      <c r="AD5" s="6"/>
      <c r="AE5" s="6" t="str">
        <f t="shared" si="2"/>
        <v/>
      </c>
      <c r="AF5" s="6"/>
    </row>
    <row r="6" spans="1:72">
      <c r="A6" s="6">
        <v>44</v>
      </c>
      <c r="B6" s="6">
        <v>44</v>
      </c>
      <c r="C6" s="6">
        <v>2600</v>
      </c>
      <c r="D6" s="6" t="s">
        <v>216</v>
      </c>
      <c r="E6" s="11" t="s">
        <v>217</v>
      </c>
      <c r="F6" s="14" t="s">
        <v>218</v>
      </c>
      <c r="G6" s="14" t="s">
        <v>219</v>
      </c>
      <c r="H6" s="14" t="s">
        <v>217</v>
      </c>
      <c r="I6" s="6" t="s">
        <v>205</v>
      </c>
      <c r="J6" s="6" t="s">
        <v>206</v>
      </c>
      <c r="K6" s="6">
        <v>2</v>
      </c>
      <c r="L6" s="6">
        <v>2.5</v>
      </c>
      <c r="M6" s="6" t="str" cm="1">
        <f t="array" ref="M6">_xlfn.SWITCH(L6,
1,"resident",
1.5,"resident and short-distance migrant",
2,"short-distance migrant",
2.5,"short- and long-distance migrant",
3,"long-distance migrant",
"")</f>
        <v>short- and long-distance migrant</v>
      </c>
      <c r="N6" s="6"/>
      <c r="O6" s="6" t="s">
        <v>207</v>
      </c>
      <c r="P6" s="6"/>
      <c r="Q6" s="6" t="str">
        <f t="shared" si="0"/>
        <v>Diurnal raptors</v>
      </c>
      <c r="R6" s="6">
        <v>4.3879907620000003</v>
      </c>
      <c r="S6" s="6">
        <v>19.214780600000001</v>
      </c>
      <c r="T6" s="6">
        <v>31.454965359999999</v>
      </c>
      <c r="U6" s="6">
        <f t="shared" si="1"/>
        <v>55.057736722000001</v>
      </c>
      <c r="V6" s="7">
        <f t="shared" si="3"/>
        <v>1196.9073200434784</v>
      </c>
      <c r="W6" s="6" t="s">
        <v>24</v>
      </c>
      <c r="X6" s="6" t="s">
        <v>24</v>
      </c>
      <c r="Y6" s="6" t="s">
        <v>24</v>
      </c>
      <c r="Z6" s="6" t="s">
        <v>25</v>
      </c>
      <c r="AA6" s="6"/>
      <c r="AB6" s="6"/>
      <c r="AC6" s="6"/>
      <c r="AD6" s="6"/>
      <c r="AE6" s="6" t="str">
        <f t="shared" si="2"/>
        <v/>
      </c>
      <c r="AF6" s="6"/>
    </row>
    <row r="7" spans="1:72" s="1" customFormat="1">
      <c r="A7" s="6">
        <v>45</v>
      </c>
      <c r="B7" s="6">
        <v>45</v>
      </c>
      <c r="C7" s="6">
        <v>2610</v>
      </c>
      <c r="D7" s="6" t="s">
        <v>220</v>
      </c>
      <c r="E7" s="11" t="s">
        <v>221</v>
      </c>
      <c r="F7" s="14" t="s">
        <v>222</v>
      </c>
      <c r="G7" s="14" t="s">
        <v>223</v>
      </c>
      <c r="H7" s="14" t="s">
        <v>221</v>
      </c>
      <c r="I7" s="6" t="s">
        <v>205</v>
      </c>
      <c r="J7" s="6" t="s">
        <v>206</v>
      </c>
      <c r="K7" s="6">
        <v>3</v>
      </c>
      <c r="L7" s="6">
        <v>2</v>
      </c>
      <c r="M7" s="6" t="str" cm="1">
        <f t="array" ref="M7">_xlfn.SWITCH(L7,
1,"resident",
1.5,"resident and short-distance migrant",
2,"short-distance migrant",
2.5,"short- and long-distance migrant",
3,"long-distance migrant",
"")</f>
        <v>short-distance migrant</v>
      </c>
      <c r="N7" s="6"/>
      <c r="O7" s="6" t="s">
        <v>207</v>
      </c>
      <c r="P7" s="6"/>
      <c r="Q7" s="6" t="str">
        <f t="shared" si="0"/>
        <v>Diurnal raptors</v>
      </c>
      <c r="R7" s="6">
        <v>0</v>
      </c>
      <c r="S7" s="6">
        <v>0.323325635</v>
      </c>
      <c r="T7" s="6">
        <v>0</v>
      </c>
      <c r="U7" s="6">
        <f t="shared" si="1"/>
        <v>0.323325635</v>
      </c>
      <c r="V7" s="7">
        <f t="shared" si="3"/>
        <v>7.0288181521739128</v>
      </c>
      <c r="W7" s="6" t="s">
        <v>50</v>
      </c>
      <c r="X7" s="6" t="s">
        <v>24</v>
      </c>
      <c r="Y7" s="6" t="s">
        <v>30</v>
      </c>
      <c r="Z7" s="6" t="s">
        <v>31</v>
      </c>
      <c r="AA7" s="6"/>
      <c r="AB7" s="6"/>
      <c r="AC7" s="6"/>
      <c r="AD7" s="6"/>
      <c r="AE7" s="6" t="str">
        <f t="shared" si="2"/>
        <v/>
      </c>
      <c r="AF7" s="6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>
      <c r="A8" s="6">
        <v>46</v>
      </c>
      <c r="B8" s="6">
        <v>46</v>
      </c>
      <c r="C8" s="6">
        <v>2630</v>
      </c>
      <c r="D8" s="6" t="s">
        <v>224</v>
      </c>
      <c r="E8" s="11" t="s">
        <v>225</v>
      </c>
      <c r="F8" s="14" t="s">
        <v>226</v>
      </c>
      <c r="G8" s="14" t="s">
        <v>227</v>
      </c>
      <c r="H8" s="14" t="s">
        <v>225</v>
      </c>
      <c r="I8" s="6" t="s">
        <v>205</v>
      </c>
      <c r="J8" s="6" t="s">
        <v>206</v>
      </c>
      <c r="K8" s="6">
        <v>3</v>
      </c>
      <c r="L8" s="6">
        <v>3</v>
      </c>
      <c r="M8" s="6" t="str" cm="1">
        <f t="array" ref="M8">_xlfn.SWITCH(L8,
1,"resident",
1.5,"resident and short-distance migrant",
2,"short-distance migrant",
2.5,"short- and long-distance migrant",
3,"long-distance migrant",
"")</f>
        <v>long-distance migrant</v>
      </c>
      <c r="N8" s="6" t="s">
        <v>207</v>
      </c>
      <c r="O8" s="6" t="s">
        <v>207</v>
      </c>
      <c r="P8" s="6"/>
      <c r="Q8" s="6" t="str">
        <f t="shared" si="0"/>
        <v>Diurnal raptors</v>
      </c>
      <c r="R8" s="6">
        <v>1.5242494230000001</v>
      </c>
      <c r="S8" s="6">
        <v>1.5704387989999999</v>
      </c>
      <c r="T8" s="6">
        <v>1.5704387989999999</v>
      </c>
      <c r="U8" s="6">
        <f t="shared" si="1"/>
        <v>4.665127021</v>
      </c>
      <c r="V8" s="7">
        <f t="shared" si="3"/>
        <v>101.41580480434783</v>
      </c>
      <c r="W8" s="6" t="s">
        <v>24</v>
      </c>
      <c r="X8" s="6" t="s">
        <v>24</v>
      </c>
      <c r="Y8" s="6" t="s">
        <v>50</v>
      </c>
      <c r="Z8" s="6" t="s">
        <v>228</v>
      </c>
      <c r="AA8" s="6"/>
      <c r="AB8" s="6"/>
      <c r="AC8" s="6"/>
      <c r="AD8" s="6"/>
      <c r="AE8" s="6" t="str">
        <f t="shared" si="2"/>
        <v/>
      </c>
      <c r="AF8" s="6"/>
    </row>
    <row r="9" spans="1:72">
      <c r="A9" s="6">
        <v>43</v>
      </c>
      <c r="B9" s="6">
        <v>43</v>
      </c>
      <c r="C9" s="6">
        <v>2430</v>
      </c>
      <c r="D9" s="6" t="s">
        <v>212</v>
      </c>
      <c r="E9" s="11" t="s">
        <v>213</v>
      </c>
      <c r="F9" s="14" t="s">
        <v>214</v>
      </c>
      <c r="G9" s="14" t="s">
        <v>215</v>
      </c>
      <c r="H9" s="14" t="s">
        <v>213</v>
      </c>
      <c r="I9" s="6" t="s">
        <v>205</v>
      </c>
      <c r="J9" s="6" t="s">
        <v>206</v>
      </c>
      <c r="K9" s="6">
        <v>2</v>
      </c>
      <c r="L9" s="6">
        <v>1.5</v>
      </c>
      <c r="M9" s="6" t="str" cm="1">
        <f t="array" ref="M9">_xlfn.SWITCH(L9,
1,"resident",
1.5,"resident and short-distance migrant",
2,"short-distance migrant",
2.5,"short- and long-distance migrant",
3,"long-distance migrant",
"")</f>
        <v>resident and short-distance migrant</v>
      </c>
      <c r="N9" s="6" t="s">
        <v>207</v>
      </c>
      <c r="O9" s="6" t="s">
        <v>207</v>
      </c>
      <c r="P9" s="6"/>
      <c r="Q9" s="6" t="str">
        <f t="shared" si="0"/>
        <v>Diurnal raptors</v>
      </c>
      <c r="R9" s="6">
        <v>0</v>
      </c>
      <c r="S9" s="6">
        <v>0.13856812900000001</v>
      </c>
      <c r="T9" s="6">
        <v>5.127020785</v>
      </c>
      <c r="U9" s="6">
        <f t="shared" si="1"/>
        <v>5.2655889140000003</v>
      </c>
      <c r="V9" s="7">
        <f t="shared" si="3"/>
        <v>114.46932421739132</v>
      </c>
      <c r="W9" s="6" t="s">
        <v>24</v>
      </c>
      <c r="X9" s="6" t="s">
        <v>24</v>
      </c>
      <c r="Y9" s="6" t="s">
        <v>24</v>
      </c>
      <c r="Z9" s="6" t="s">
        <v>25</v>
      </c>
      <c r="AA9" s="6"/>
      <c r="AB9" s="6"/>
      <c r="AC9" s="6"/>
      <c r="AD9" s="6"/>
      <c r="AE9" s="6" t="str">
        <f t="shared" si="2"/>
        <v/>
      </c>
      <c r="AF9" s="6"/>
    </row>
    <row r="10" spans="1:72" s="3" customFormat="1">
      <c r="A10" s="6">
        <v>42</v>
      </c>
      <c r="B10" s="6">
        <v>42</v>
      </c>
      <c r="C10" s="6">
        <v>2390</v>
      </c>
      <c r="D10" s="6" t="s">
        <v>208</v>
      </c>
      <c r="E10" s="11" t="s">
        <v>209</v>
      </c>
      <c r="F10" s="14" t="s">
        <v>210</v>
      </c>
      <c r="G10" s="14" t="s">
        <v>211</v>
      </c>
      <c r="H10" s="14" t="s">
        <v>209</v>
      </c>
      <c r="I10" s="6" t="s">
        <v>205</v>
      </c>
      <c r="J10" s="6" t="s">
        <v>206</v>
      </c>
      <c r="K10" s="6">
        <v>2</v>
      </c>
      <c r="L10" s="6">
        <v>1.5</v>
      </c>
      <c r="M10" s="6" t="str" cm="1">
        <f t="array" ref="M10">_xlfn.SWITCH(L10,
1,"resident",
1.5,"resident and short-distance migrant",
2,"short-distance migrant",
2.5,"short- and long-distance migrant",
3,"long-distance migrant",
"")</f>
        <v>resident and short-distance migrant</v>
      </c>
      <c r="N10" s="6" t="s">
        <v>207</v>
      </c>
      <c r="O10" s="6" t="s">
        <v>207</v>
      </c>
      <c r="P10" s="6"/>
      <c r="Q10" s="6" t="str">
        <f t="shared" si="0"/>
        <v>Diurnal raptors</v>
      </c>
      <c r="R10" s="6">
        <v>0.13856812900000001</v>
      </c>
      <c r="S10" s="6">
        <v>1.9399538110000001</v>
      </c>
      <c r="T10" s="6">
        <v>12.65588915</v>
      </c>
      <c r="U10" s="6">
        <f t="shared" si="1"/>
        <v>14.73441109</v>
      </c>
      <c r="V10" s="7">
        <f t="shared" si="3"/>
        <v>320.31328456521737</v>
      </c>
      <c r="W10" s="6" t="s">
        <v>24</v>
      </c>
      <c r="X10" s="6" t="s">
        <v>24</v>
      </c>
      <c r="Y10" s="6" t="s">
        <v>24</v>
      </c>
      <c r="Z10" s="6" t="s">
        <v>25</v>
      </c>
      <c r="AA10" s="6"/>
      <c r="AB10" s="6"/>
      <c r="AC10" s="6"/>
      <c r="AD10" s="6"/>
      <c r="AE10" s="6" t="str">
        <f t="shared" si="2"/>
        <v/>
      </c>
      <c r="AF10" s="6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</row>
    <row r="11" spans="1:72">
      <c r="A11" s="6">
        <v>51</v>
      </c>
      <c r="B11" s="6">
        <v>51</v>
      </c>
      <c r="C11" s="6">
        <v>3010</v>
      </c>
      <c r="D11" s="6" t="s">
        <v>245</v>
      </c>
      <c r="E11" s="11" t="s">
        <v>246</v>
      </c>
      <c r="F11" s="14" t="s">
        <v>247</v>
      </c>
      <c r="G11" s="14" t="s">
        <v>248</v>
      </c>
      <c r="H11" s="14" t="s">
        <v>246</v>
      </c>
      <c r="I11" s="6" t="s">
        <v>249</v>
      </c>
      <c r="J11" s="6" t="s">
        <v>206</v>
      </c>
      <c r="K11" s="6">
        <v>3</v>
      </c>
      <c r="L11" s="6">
        <v>3</v>
      </c>
      <c r="M11" s="6" t="str" cm="1">
        <f t="array" ref="M11">_xlfn.SWITCH(L11,
1,"resident",
1.5,"resident and short-distance migrant",
2,"short-distance migrant",
2.5,"short- and long-distance migrant",
3,"long-distance migrant",
"")</f>
        <v>long-distance migrant</v>
      </c>
      <c r="N11" s="6"/>
      <c r="O11" s="6" t="s">
        <v>207</v>
      </c>
      <c r="P11" s="6"/>
      <c r="Q11" s="6" t="str">
        <f t="shared" si="0"/>
        <v>Diurnal raptors</v>
      </c>
      <c r="R11" s="6">
        <v>0</v>
      </c>
      <c r="S11" s="6">
        <v>4.6189375999999997E-2</v>
      </c>
      <c r="T11" s="6">
        <v>0.277136259</v>
      </c>
      <c r="U11" s="6">
        <f t="shared" si="1"/>
        <v>0.323325635</v>
      </c>
      <c r="V11" s="7">
        <f t="shared" si="3"/>
        <v>7.0288181521739128</v>
      </c>
      <c r="W11" s="6" t="s">
        <v>24</v>
      </c>
      <c r="X11" s="6" t="s">
        <v>24</v>
      </c>
      <c r="Y11" s="6" t="s">
        <v>24</v>
      </c>
      <c r="Z11" s="6" t="s">
        <v>25</v>
      </c>
      <c r="AA11" s="6"/>
      <c r="AB11" s="6"/>
      <c r="AC11" s="6"/>
      <c r="AD11" s="6"/>
      <c r="AE11" s="6" t="str">
        <f t="shared" si="2"/>
        <v/>
      </c>
      <c r="AF11" s="6"/>
    </row>
    <row r="12" spans="1:72" s="1" customFormat="1">
      <c r="A12" s="6">
        <v>41</v>
      </c>
      <c r="B12" s="6">
        <v>41</v>
      </c>
      <c r="C12" s="6">
        <v>2310</v>
      </c>
      <c r="D12" s="6" t="s">
        <v>201</v>
      </c>
      <c r="E12" s="11" t="s">
        <v>202</v>
      </c>
      <c r="F12" s="14" t="s">
        <v>203</v>
      </c>
      <c r="G12" s="14" t="s">
        <v>204</v>
      </c>
      <c r="H12" s="14" t="s">
        <v>202</v>
      </c>
      <c r="I12" s="6" t="s">
        <v>205</v>
      </c>
      <c r="J12" s="6" t="s">
        <v>206</v>
      </c>
      <c r="K12" s="6">
        <v>3</v>
      </c>
      <c r="L12" s="6">
        <v>3</v>
      </c>
      <c r="M12" s="6" t="str" cm="1">
        <f t="array" ref="M12">_xlfn.SWITCH(L12,
1,"resident",
1.5,"resident and short-distance migrant",
2,"short-distance migrant",
2.5,"short- and long-distance migrant",
3,"long-distance migrant",
"")</f>
        <v>long-distance migrant</v>
      </c>
      <c r="N12" s="6"/>
      <c r="O12" s="6" t="s">
        <v>207</v>
      </c>
      <c r="P12" s="6"/>
      <c r="Q12" s="6" t="str">
        <f t="shared" si="0"/>
        <v>Diurnal raptors</v>
      </c>
      <c r="R12" s="6">
        <v>8.1755196300000001</v>
      </c>
      <c r="S12" s="6">
        <v>12.65588915</v>
      </c>
      <c r="T12" s="6">
        <v>14.457274829999999</v>
      </c>
      <c r="U12" s="6">
        <f t="shared" si="1"/>
        <v>35.28868361</v>
      </c>
      <c r="V12" s="7">
        <f t="shared" si="3"/>
        <v>767.14529586956519</v>
      </c>
      <c r="W12" s="6" t="s">
        <v>24</v>
      </c>
      <c r="X12" s="6" t="s">
        <v>24</v>
      </c>
      <c r="Y12" s="6" t="s">
        <v>24</v>
      </c>
      <c r="Z12" s="6" t="s">
        <v>25</v>
      </c>
      <c r="AA12" s="6"/>
      <c r="AB12" s="6"/>
      <c r="AC12" s="6"/>
      <c r="AD12" s="6"/>
      <c r="AE12" s="6" t="str">
        <f t="shared" si="2"/>
        <v/>
      </c>
      <c r="AF12" s="6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</row>
    <row r="13" spans="1:72" s="2" customFormat="1">
      <c r="A13" s="5">
        <v>23</v>
      </c>
      <c r="B13" s="5">
        <v>23</v>
      </c>
      <c r="C13" s="5">
        <v>1780</v>
      </c>
      <c r="D13" s="5" t="s">
        <v>130</v>
      </c>
      <c r="E13" s="16" t="s">
        <v>131</v>
      </c>
      <c r="F13" s="17" t="s">
        <v>132</v>
      </c>
      <c r="G13" s="17" t="s">
        <v>133</v>
      </c>
      <c r="H13" s="17" t="s">
        <v>131</v>
      </c>
      <c r="I13" s="5" t="s">
        <v>94</v>
      </c>
      <c r="J13" s="5" t="s">
        <v>95</v>
      </c>
      <c r="K13" s="5">
        <v>3</v>
      </c>
      <c r="L13" s="5"/>
      <c r="M13" s="5" t="str" cm="1">
        <f t="array" ref="M13">_xlfn.SWITCH(L13,
1,"resident",
1.5,"resident and short-distance migrant",
2,"short-distance migrant",
2.5,"short- and long-distance migrant",
3,"long-distance migrant",
"")</f>
        <v/>
      </c>
      <c r="N13" s="5"/>
      <c r="O13" s="5"/>
      <c r="P13" s="5"/>
      <c r="Q13" s="5"/>
      <c r="R13" s="5">
        <v>9.2378752999999994E-2</v>
      </c>
      <c r="S13" s="5">
        <v>9.2378752999999994E-2</v>
      </c>
      <c r="T13" s="5">
        <v>0</v>
      </c>
      <c r="U13" s="5">
        <f t="shared" si="1"/>
        <v>0.18475750599999999</v>
      </c>
      <c r="V13" s="18">
        <f t="shared" si="3"/>
        <v>4.0164675217391306</v>
      </c>
      <c r="W13" s="5" t="s">
        <v>30</v>
      </c>
      <c r="X13" s="5" t="s">
        <v>50</v>
      </c>
      <c r="Y13" s="5" t="s">
        <v>30</v>
      </c>
      <c r="Z13" s="5" t="s">
        <v>134</v>
      </c>
      <c r="AA13" s="5" t="s">
        <v>1037</v>
      </c>
      <c r="AB13" s="5"/>
      <c r="AC13" s="5">
        <v>1</v>
      </c>
      <c r="AD13" s="5"/>
      <c r="AE13" s="5">
        <f t="shared" si="2"/>
        <v>1</v>
      </c>
      <c r="AF13" s="5"/>
      <c r="AG13" s="2">
        <v>1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</row>
    <row r="14" spans="1:72" s="2" customFormat="1">
      <c r="A14" s="5">
        <v>20</v>
      </c>
      <c r="B14" s="5">
        <v>20</v>
      </c>
      <c r="C14" s="5">
        <v>1700</v>
      </c>
      <c r="D14" s="5" t="s">
        <v>117</v>
      </c>
      <c r="E14" s="16" t="s">
        <v>118</v>
      </c>
      <c r="F14" s="17" t="s">
        <v>119</v>
      </c>
      <c r="G14" s="17" t="s">
        <v>120</v>
      </c>
      <c r="H14" s="17" t="s">
        <v>118</v>
      </c>
      <c r="I14" s="5" t="s">
        <v>94</v>
      </c>
      <c r="J14" s="5" t="s">
        <v>95</v>
      </c>
      <c r="K14" s="5">
        <v>2</v>
      </c>
      <c r="L14" s="5">
        <v>2</v>
      </c>
      <c r="M14" s="5" t="str" cm="1">
        <f t="array" ref="M14">_xlfn.SWITCH(L14,
1,"resident",
1.5,"resident and short-distance migrant",
2,"short-distance migrant",
2.5,"short- and long-distance migrant",
3,"long-distance migrant",
"")</f>
        <v>short-distance migrant</v>
      </c>
      <c r="N14" s="5"/>
      <c r="O14" s="5"/>
      <c r="P14" s="5" t="s">
        <v>96</v>
      </c>
      <c r="Q14" s="5" t="str">
        <f t="shared" ref="Q14:Q45" si="4">IF(NOT(ISBLANK(P14)), P14, IF(NOT(ISBLANK(O14)), O14, N14))</f>
        <v>Grazing waterfowl</v>
      </c>
      <c r="R14" s="5">
        <v>0</v>
      </c>
      <c r="S14" s="5">
        <v>0</v>
      </c>
      <c r="T14" s="5">
        <v>1.7551963049999999</v>
      </c>
      <c r="U14" s="5">
        <f t="shared" si="1"/>
        <v>1.7551963049999999</v>
      </c>
      <c r="V14" s="18">
        <f t="shared" si="3"/>
        <v>38.156441413043474</v>
      </c>
      <c r="W14" s="5" t="s">
        <v>24</v>
      </c>
      <c r="X14" s="5" t="s">
        <v>50</v>
      </c>
      <c r="Y14" s="5" t="s">
        <v>24</v>
      </c>
      <c r="Z14" s="5" t="s">
        <v>69</v>
      </c>
      <c r="AA14" s="5" t="s">
        <v>1037</v>
      </c>
      <c r="AB14" s="5"/>
      <c r="AC14" s="5">
        <v>1</v>
      </c>
      <c r="AD14" s="5"/>
      <c r="AE14" s="5" t="str">
        <f t="shared" si="2"/>
        <v/>
      </c>
      <c r="AF14" s="5"/>
      <c r="AG14" s="2">
        <v>1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</row>
    <row r="15" spans="1:72">
      <c r="A15" s="6">
        <v>28</v>
      </c>
      <c r="B15" s="6">
        <v>28</v>
      </c>
      <c r="C15" s="6">
        <v>1890</v>
      </c>
      <c r="D15" s="6" t="s">
        <v>149</v>
      </c>
      <c r="E15" s="11" t="s">
        <v>150</v>
      </c>
      <c r="F15" s="14" t="s">
        <v>151</v>
      </c>
      <c r="G15" s="14" t="s">
        <v>152</v>
      </c>
      <c r="H15" s="14" t="s">
        <v>150</v>
      </c>
      <c r="I15" s="6" t="s">
        <v>94</v>
      </c>
      <c r="J15" s="6" t="s">
        <v>95</v>
      </c>
      <c r="K15" s="6">
        <v>3</v>
      </c>
      <c r="L15" s="6">
        <v>2</v>
      </c>
      <c r="M15" s="6" t="str" cm="1">
        <f t="array" ref="M15">_xlfn.SWITCH(L15,
1,"resident",
1.5,"resident and short-distance migrant",
2,"short-distance migrant",
2.5,"short- and long-distance migrant",
3,"long-distance migrant",
"")</f>
        <v>short-distance migrant</v>
      </c>
      <c r="N15" s="6" t="s">
        <v>129</v>
      </c>
      <c r="O15" s="6" t="s">
        <v>129</v>
      </c>
      <c r="P15" s="6"/>
      <c r="Q15" s="6" t="str">
        <f t="shared" si="4"/>
        <v>Dabbling ducks</v>
      </c>
      <c r="R15" s="6">
        <v>3.6951501150000001</v>
      </c>
      <c r="S15" s="6">
        <v>2.6789838339999998</v>
      </c>
      <c r="T15" s="6">
        <v>0.969976905</v>
      </c>
      <c r="U15" s="6">
        <f t="shared" si="1"/>
        <v>7.3441108540000002</v>
      </c>
      <c r="V15" s="7">
        <f t="shared" si="3"/>
        <v>159.65458378260871</v>
      </c>
      <c r="W15" s="6" t="s">
        <v>30</v>
      </c>
      <c r="X15" s="6" t="s">
        <v>30</v>
      </c>
      <c r="Y15" s="6" t="s">
        <v>30</v>
      </c>
      <c r="Z15" s="6" t="s">
        <v>84</v>
      </c>
      <c r="AA15" s="6"/>
      <c r="AB15" s="6"/>
      <c r="AC15" s="6"/>
      <c r="AD15" s="6"/>
      <c r="AE15" s="6" t="str">
        <f t="shared" si="2"/>
        <v/>
      </c>
      <c r="AF15" s="6"/>
    </row>
    <row r="16" spans="1:72">
      <c r="A16" s="6">
        <v>26</v>
      </c>
      <c r="B16" s="6">
        <v>26</v>
      </c>
      <c r="C16" s="6">
        <v>1840</v>
      </c>
      <c r="D16" s="6" t="s">
        <v>142</v>
      </c>
      <c r="E16" s="11" t="s">
        <v>143</v>
      </c>
      <c r="F16" s="14" t="s">
        <v>144</v>
      </c>
      <c r="G16" s="14" t="s">
        <v>145</v>
      </c>
      <c r="H16" s="14" t="s">
        <v>143</v>
      </c>
      <c r="I16" s="6" t="s">
        <v>94</v>
      </c>
      <c r="J16" s="6" t="s">
        <v>95</v>
      </c>
      <c r="K16" s="6">
        <v>2</v>
      </c>
      <c r="L16" s="6">
        <v>2</v>
      </c>
      <c r="M16" s="6" t="str" cm="1">
        <f t="array" ref="M16">_xlfn.SWITCH(L16,
1,"resident",
1.5,"resident and short-distance migrant",
2,"short-distance migrant",
2.5,"short- and long-distance migrant",
3,"long-distance migrant",
"")</f>
        <v>short-distance migrant</v>
      </c>
      <c r="N16" s="6"/>
      <c r="O16" s="6" t="s">
        <v>129</v>
      </c>
      <c r="P16" s="6"/>
      <c r="Q16" s="6" t="str">
        <f t="shared" si="4"/>
        <v>Dabbling ducks</v>
      </c>
      <c r="R16" s="6">
        <v>9.9307159350000003</v>
      </c>
      <c r="S16" s="6">
        <v>8.8221709009999998</v>
      </c>
      <c r="T16" s="6">
        <v>2.8175519630000001</v>
      </c>
      <c r="U16" s="6">
        <f t="shared" si="1"/>
        <v>21.570438799000001</v>
      </c>
      <c r="V16" s="7">
        <f t="shared" si="3"/>
        <v>468.92258258695654</v>
      </c>
      <c r="W16" s="6" t="s">
        <v>30</v>
      </c>
      <c r="X16" s="6" t="s">
        <v>30</v>
      </c>
      <c r="Y16" s="6" t="s">
        <v>30</v>
      </c>
      <c r="Z16" s="6" t="s">
        <v>84</v>
      </c>
      <c r="AA16" s="6"/>
      <c r="AB16" s="6"/>
      <c r="AC16" s="6"/>
      <c r="AD16" s="6"/>
      <c r="AE16" s="6" t="str">
        <f t="shared" si="2"/>
        <v/>
      </c>
      <c r="AF16" s="6"/>
    </row>
    <row r="17" spans="1:72">
      <c r="A17" s="6">
        <v>27</v>
      </c>
      <c r="B17" s="6">
        <v>27</v>
      </c>
      <c r="C17" s="6">
        <v>1860</v>
      </c>
      <c r="D17" s="6" t="s">
        <v>146</v>
      </c>
      <c r="E17" s="11" t="s">
        <v>147</v>
      </c>
      <c r="F17" s="14" t="s">
        <v>148</v>
      </c>
      <c r="G17" s="14" t="s">
        <v>148</v>
      </c>
      <c r="H17" s="14" t="s">
        <v>147</v>
      </c>
      <c r="I17" s="6" t="s">
        <v>94</v>
      </c>
      <c r="J17" s="6" t="s">
        <v>95</v>
      </c>
      <c r="K17" s="6">
        <v>2</v>
      </c>
      <c r="L17" s="6">
        <v>1.5</v>
      </c>
      <c r="M17" s="6" t="str" cm="1">
        <f t="array" ref="M17">_xlfn.SWITCH(L17,
1,"resident",
1.5,"resident and short-distance migrant",
2,"short-distance migrant",
2.5,"short- and long-distance migrant",
3,"long-distance migrant",
"")</f>
        <v>resident and short-distance migrant</v>
      </c>
      <c r="N17" s="6" t="s">
        <v>129</v>
      </c>
      <c r="O17" s="6" t="s">
        <v>129</v>
      </c>
      <c r="P17" s="6"/>
      <c r="Q17" s="6" t="str">
        <f t="shared" si="4"/>
        <v>Dabbling ducks</v>
      </c>
      <c r="R17" s="6">
        <v>65.63510393</v>
      </c>
      <c r="S17" s="6">
        <v>86.189376440000004</v>
      </c>
      <c r="T17" s="6">
        <v>75.150115470000003</v>
      </c>
      <c r="U17" s="6">
        <f t="shared" si="1"/>
        <v>226.97459584000001</v>
      </c>
      <c r="V17" s="7">
        <f t="shared" si="3"/>
        <v>4934.2303443478268</v>
      </c>
      <c r="W17" s="6" t="s">
        <v>24</v>
      </c>
      <c r="X17" s="6" t="s">
        <v>24</v>
      </c>
      <c r="Y17" s="6" t="s">
        <v>30</v>
      </c>
      <c r="Z17" s="6" t="s">
        <v>31</v>
      </c>
      <c r="AA17" s="6"/>
      <c r="AB17" s="6"/>
      <c r="AC17" s="6"/>
      <c r="AD17" s="6"/>
      <c r="AE17" s="6" t="str">
        <f t="shared" si="2"/>
        <v/>
      </c>
      <c r="AF17" s="6"/>
    </row>
    <row r="18" spans="1:72" s="2" customFormat="1" ht="17" customHeight="1">
      <c r="A18" s="6">
        <v>16</v>
      </c>
      <c r="B18" s="6">
        <v>16</v>
      </c>
      <c r="C18" s="6">
        <v>1610</v>
      </c>
      <c r="D18" s="6" t="s">
        <v>101</v>
      </c>
      <c r="E18" s="11" t="s">
        <v>102</v>
      </c>
      <c r="F18" s="14" t="s">
        <v>103</v>
      </c>
      <c r="G18" s="14" t="s">
        <v>104</v>
      </c>
      <c r="H18" s="14" t="s">
        <v>102</v>
      </c>
      <c r="I18" s="6" t="s">
        <v>94</v>
      </c>
      <c r="J18" s="6" t="s">
        <v>95</v>
      </c>
      <c r="K18" s="6">
        <v>3</v>
      </c>
      <c r="L18" s="6">
        <v>1.5</v>
      </c>
      <c r="M18" s="6" t="str" cm="1">
        <f t="array" ref="M18">_xlfn.SWITCH(L18,
1,"resident",
1.5,"resident and short-distance migrant",
2,"short-distance migrant",
2.5,"short- and long-distance migrant",
3,"long-distance migrant",
"")</f>
        <v>resident and short-distance migrant</v>
      </c>
      <c r="N18" s="6"/>
      <c r="O18" s="6" t="s">
        <v>96</v>
      </c>
      <c r="P18" s="6"/>
      <c r="Q18" s="6" t="str">
        <f t="shared" si="4"/>
        <v>Grazing waterfowl</v>
      </c>
      <c r="R18" s="6">
        <v>10.531177830000001</v>
      </c>
      <c r="S18" s="6">
        <v>21.893764430000001</v>
      </c>
      <c r="T18" s="6">
        <v>51.224018479999998</v>
      </c>
      <c r="U18" s="6">
        <f t="shared" si="1"/>
        <v>83.648960740000007</v>
      </c>
      <c r="V18" s="7">
        <f t="shared" si="3"/>
        <v>1818.4556682608697</v>
      </c>
      <c r="W18" s="6" t="s">
        <v>24</v>
      </c>
      <c r="X18" s="6" t="s">
        <v>24</v>
      </c>
      <c r="Y18" s="6" t="s">
        <v>24</v>
      </c>
      <c r="Z18" s="6" t="s">
        <v>25</v>
      </c>
      <c r="AA18" s="6"/>
      <c r="AB18" s="6"/>
      <c r="AC18" s="6"/>
      <c r="AD18" s="6"/>
      <c r="AE18" s="6" t="str">
        <f t="shared" si="2"/>
        <v/>
      </c>
      <c r="AF18" s="6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</row>
    <row r="19" spans="1:72" s="2" customFormat="1">
      <c r="A19" s="5">
        <v>17</v>
      </c>
      <c r="B19" s="5">
        <v>17</v>
      </c>
      <c r="C19" s="5">
        <v>1630</v>
      </c>
      <c r="D19" s="5" t="s">
        <v>105</v>
      </c>
      <c r="E19" s="16" t="s">
        <v>106</v>
      </c>
      <c r="F19" s="17" t="s">
        <v>107</v>
      </c>
      <c r="G19" s="17" t="s">
        <v>108</v>
      </c>
      <c r="H19" s="17" t="s">
        <v>106</v>
      </c>
      <c r="I19" s="5" t="s">
        <v>94</v>
      </c>
      <c r="J19" s="5" t="s">
        <v>95</v>
      </c>
      <c r="K19" s="5">
        <v>3</v>
      </c>
      <c r="L19" s="5">
        <v>3</v>
      </c>
      <c r="M19" s="5" t="str" cm="1">
        <f t="array" ref="M19">_xlfn.SWITCH(L19,
1,"resident",
1.5,"resident and short-distance migrant",
2,"short-distance migrant",
2.5,"short- and long-distance migrant",
3,"long-distance migrant",
"")</f>
        <v>long-distance migrant</v>
      </c>
      <c r="N19" s="5"/>
      <c r="O19" s="5"/>
      <c r="P19" s="5" t="s">
        <v>96</v>
      </c>
      <c r="Q19" s="5" t="str">
        <f t="shared" si="4"/>
        <v>Grazing waterfowl</v>
      </c>
      <c r="R19" s="5">
        <v>0</v>
      </c>
      <c r="S19" s="5">
        <v>0</v>
      </c>
      <c r="T19" s="5">
        <v>4.6189375999999997E-2</v>
      </c>
      <c r="U19" s="5">
        <f t="shared" si="1"/>
        <v>4.6189375999999997E-2</v>
      </c>
      <c r="V19" s="18">
        <f t="shared" si="3"/>
        <v>1.0041168695652174</v>
      </c>
      <c r="W19" s="5" t="s">
        <v>24</v>
      </c>
      <c r="X19" s="5" t="s">
        <v>50</v>
      </c>
      <c r="Y19" s="5" t="s">
        <v>24</v>
      </c>
      <c r="Z19" s="5" t="s">
        <v>69</v>
      </c>
      <c r="AA19" s="5" t="s">
        <v>1037</v>
      </c>
      <c r="AB19" s="5"/>
      <c r="AC19" s="5">
        <v>1</v>
      </c>
      <c r="AD19" s="5"/>
      <c r="AE19" s="5">
        <f t="shared" si="2"/>
        <v>1</v>
      </c>
      <c r="AF19" s="5"/>
      <c r="AG19" s="2">
        <v>1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</row>
    <row r="20" spans="1:72">
      <c r="A20" s="6">
        <v>32</v>
      </c>
      <c r="B20" s="6">
        <v>32</v>
      </c>
      <c r="C20" s="6">
        <v>1980</v>
      </c>
      <c r="D20" s="6" t="s">
        <v>165</v>
      </c>
      <c r="E20" s="11" t="s">
        <v>166</v>
      </c>
      <c r="F20" s="14" t="s">
        <v>167</v>
      </c>
      <c r="G20" s="14" t="s">
        <v>168</v>
      </c>
      <c r="H20" s="14" t="s">
        <v>166</v>
      </c>
      <c r="I20" s="6" t="s">
        <v>94</v>
      </c>
      <c r="J20" s="6" t="s">
        <v>95</v>
      </c>
      <c r="K20" s="6">
        <v>1</v>
      </c>
      <c r="L20" s="6">
        <v>2</v>
      </c>
      <c r="M20" s="6" t="str" cm="1">
        <f t="array" ref="M20">_xlfn.SWITCH(L20,
1,"resident",
1.5,"resident and short-distance migrant",
2,"short-distance migrant",
2.5,"short- and long-distance migrant",
3,"long-distance migrant",
"")</f>
        <v>short-distance migrant</v>
      </c>
      <c r="N20" s="6" t="s">
        <v>169</v>
      </c>
      <c r="O20" s="6" t="s">
        <v>169</v>
      </c>
      <c r="P20" s="6"/>
      <c r="Q20" s="6" t="str">
        <f t="shared" si="4"/>
        <v>Diving ducks</v>
      </c>
      <c r="R20" s="6">
        <v>6.6512702079999997</v>
      </c>
      <c r="S20" s="6">
        <v>10.484988449999999</v>
      </c>
      <c r="T20" s="6">
        <v>7.2517321020000001</v>
      </c>
      <c r="U20" s="6">
        <f t="shared" si="1"/>
        <v>24.387990760000001</v>
      </c>
      <c r="V20" s="7">
        <f t="shared" si="3"/>
        <v>530.17371217391303</v>
      </c>
      <c r="W20" s="6" t="s">
        <v>24</v>
      </c>
      <c r="X20" s="6" t="s">
        <v>24</v>
      </c>
      <c r="Y20" s="6" t="s">
        <v>30</v>
      </c>
      <c r="Z20" s="6" t="s">
        <v>31</v>
      </c>
      <c r="AA20" s="6"/>
      <c r="AB20" s="6"/>
      <c r="AC20" s="6"/>
      <c r="AD20" s="6"/>
      <c r="AE20" s="6" t="str">
        <f t="shared" si="2"/>
        <v/>
      </c>
      <c r="AF20" s="6"/>
    </row>
    <row r="21" spans="1:72" s="2" customFormat="1">
      <c r="A21" s="6">
        <v>33</v>
      </c>
      <c r="B21" s="6">
        <v>33</v>
      </c>
      <c r="C21" s="6">
        <v>2030</v>
      </c>
      <c r="D21" s="6" t="s">
        <v>170</v>
      </c>
      <c r="E21" s="11" t="s">
        <v>171</v>
      </c>
      <c r="F21" s="14" t="s">
        <v>172</v>
      </c>
      <c r="G21" s="14" t="s">
        <v>173</v>
      </c>
      <c r="H21" s="14" t="s">
        <v>171</v>
      </c>
      <c r="I21" s="6" t="s">
        <v>94</v>
      </c>
      <c r="J21" s="6" t="s">
        <v>95</v>
      </c>
      <c r="K21" s="6">
        <v>2</v>
      </c>
      <c r="L21" s="6">
        <v>2</v>
      </c>
      <c r="M21" s="6" t="str" cm="1">
        <f t="array" ref="M21">_xlfn.SWITCH(L21,
1,"resident",
1.5,"resident and short-distance migrant",
2,"short-distance migrant",
2.5,"short- and long-distance migrant",
3,"long-distance migrant",
"")</f>
        <v>short-distance migrant</v>
      </c>
      <c r="N21" s="6" t="s">
        <v>169</v>
      </c>
      <c r="O21" s="6" t="s">
        <v>169</v>
      </c>
      <c r="P21" s="6"/>
      <c r="Q21" s="6" t="str">
        <f t="shared" si="4"/>
        <v>Diving ducks</v>
      </c>
      <c r="R21" s="6">
        <v>5.7736720549999996</v>
      </c>
      <c r="S21" s="6">
        <v>17.136258659999999</v>
      </c>
      <c r="T21" s="6">
        <v>15.288683600000001</v>
      </c>
      <c r="U21" s="6">
        <f t="shared" si="1"/>
        <v>38.198614315</v>
      </c>
      <c r="V21" s="7">
        <f t="shared" si="3"/>
        <v>830.40465902173912</v>
      </c>
      <c r="W21" s="6" t="s">
        <v>24</v>
      </c>
      <c r="X21" s="6" t="s">
        <v>24</v>
      </c>
      <c r="Y21" s="6" t="s">
        <v>30</v>
      </c>
      <c r="Z21" s="6" t="s">
        <v>31</v>
      </c>
      <c r="AA21" s="6"/>
      <c r="AB21" s="6"/>
      <c r="AC21" s="6"/>
      <c r="AD21" s="6"/>
      <c r="AE21" s="6" t="str">
        <f t="shared" si="2"/>
        <v/>
      </c>
      <c r="AF21" s="6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</row>
    <row r="22" spans="1:72" s="2" customFormat="1">
      <c r="A22" s="5">
        <v>34</v>
      </c>
      <c r="B22" s="5">
        <v>34</v>
      </c>
      <c r="C22" s="5">
        <v>2040</v>
      </c>
      <c r="D22" s="5" t="s">
        <v>174</v>
      </c>
      <c r="E22" s="16" t="s">
        <v>175</v>
      </c>
      <c r="F22" s="17" t="s">
        <v>176</v>
      </c>
      <c r="G22" s="17" t="s">
        <v>177</v>
      </c>
      <c r="H22" s="17" t="s">
        <v>175</v>
      </c>
      <c r="I22" s="5" t="s">
        <v>94</v>
      </c>
      <c r="J22" s="5" t="s">
        <v>95</v>
      </c>
      <c r="K22" s="5">
        <v>3</v>
      </c>
      <c r="L22" s="5"/>
      <c r="M22" s="5" t="str" cm="1">
        <f t="array" ref="M22">_xlfn.SWITCH(L22,
1,"resident",
1.5,"resident and short-distance migrant",
2,"short-distance migrant",
2.5,"short- and long-distance migrant",
3,"long-distance migrant",
"")</f>
        <v/>
      </c>
      <c r="N22" s="5"/>
      <c r="O22" s="5"/>
      <c r="P22" s="5" t="s">
        <v>1032</v>
      </c>
      <c r="Q22" s="5" t="str">
        <f t="shared" si="4"/>
        <v>Diving duck</v>
      </c>
      <c r="R22" s="5">
        <v>0</v>
      </c>
      <c r="S22" s="5">
        <v>0</v>
      </c>
      <c r="T22" s="5">
        <v>0</v>
      </c>
      <c r="U22" s="5">
        <f t="shared" si="1"/>
        <v>0</v>
      </c>
      <c r="V22" s="18">
        <f t="shared" si="3"/>
        <v>0</v>
      </c>
      <c r="W22" s="5" t="s">
        <v>50</v>
      </c>
      <c r="X22" s="5" t="s">
        <v>50</v>
      </c>
      <c r="Y22" s="5" t="s">
        <v>50</v>
      </c>
      <c r="Z22" s="5" t="s">
        <v>51</v>
      </c>
      <c r="AA22" s="5" t="s">
        <v>1035</v>
      </c>
      <c r="AB22" s="5">
        <v>1</v>
      </c>
      <c r="AC22" s="5"/>
      <c r="AD22" s="5"/>
      <c r="AE22" s="5">
        <f t="shared" si="2"/>
        <v>1</v>
      </c>
      <c r="AF22" s="5"/>
      <c r="AG22" s="2">
        <v>1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</row>
    <row r="23" spans="1:72" s="2" customFormat="1">
      <c r="A23" s="5">
        <v>18</v>
      </c>
      <c r="B23" s="5">
        <v>18</v>
      </c>
      <c r="C23" s="5">
        <v>1660</v>
      </c>
      <c r="D23" s="5" t="s">
        <v>109</v>
      </c>
      <c r="E23" s="16" t="s">
        <v>110</v>
      </c>
      <c r="F23" s="17" t="s">
        <v>111</v>
      </c>
      <c r="G23" s="17" t="s">
        <v>112</v>
      </c>
      <c r="H23" s="17" t="s">
        <v>110</v>
      </c>
      <c r="I23" s="5" t="s">
        <v>94</v>
      </c>
      <c r="J23" s="5" t="s">
        <v>95</v>
      </c>
      <c r="K23" s="5">
        <v>3</v>
      </c>
      <c r="L23" s="5">
        <v>1.5</v>
      </c>
      <c r="M23" s="5" t="str" cm="1">
        <f t="array" ref="M23">_xlfn.SWITCH(L23,
1,"resident",
1.5,"resident and short-distance migrant",
2,"short-distance migrant",
2.5,"short- and long-distance migrant",
3,"long-distance migrant",
"")</f>
        <v>resident and short-distance migrant</v>
      </c>
      <c r="N23" s="5" t="s">
        <v>96</v>
      </c>
      <c r="O23" s="5" t="s">
        <v>96</v>
      </c>
      <c r="P23" s="5"/>
      <c r="Q23" s="5" t="str">
        <f t="shared" si="4"/>
        <v>Grazing waterfowl</v>
      </c>
      <c r="R23" s="5">
        <v>0.36951501199999998</v>
      </c>
      <c r="S23" s="5">
        <v>1.2471131639999999</v>
      </c>
      <c r="T23" s="5">
        <v>0.92378752900000005</v>
      </c>
      <c r="U23" s="5">
        <f t="shared" si="1"/>
        <v>2.540415705</v>
      </c>
      <c r="V23" s="18">
        <f t="shared" si="3"/>
        <v>55.22642836956522</v>
      </c>
      <c r="W23" s="5" t="s">
        <v>24</v>
      </c>
      <c r="X23" s="5" t="s">
        <v>24</v>
      </c>
      <c r="Y23" s="5" t="s">
        <v>30</v>
      </c>
      <c r="Z23" s="5" t="s">
        <v>31</v>
      </c>
      <c r="AA23" s="5" t="s">
        <v>1037</v>
      </c>
      <c r="AB23" s="5"/>
      <c r="AC23" s="5">
        <v>1</v>
      </c>
      <c r="AD23" s="5"/>
      <c r="AE23" s="5" t="str">
        <f t="shared" si="2"/>
        <v/>
      </c>
      <c r="AF23" s="5"/>
      <c r="AG23" s="2">
        <v>1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</row>
    <row r="24" spans="1:72" s="2" customFormat="1">
      <c r="A24" s="6">
        <v>19</v>
      </c>
      <c r="B24" s="6">
        <v>19</v>
      </c>
      <c r="C24" s="6">
        <v>1670</v>
      </c>
      <c r="D24" s="6" t="s">
        <v>113</v>
      </c>
      <c r="E24" s="11" t="s">
        <v>114</v>
      </c>
      <c r="F24" s="14" t="s">
        <v>115</v>
      </c>
      <c r="G24" s="14" t="s">
        <v>116</v>
      </c>
      <c r="H24" s="14" t="s">
        <v>114</v>
      </c>
      <c r="I24" s="6" t="s">
        <v>94</v>
      </c>
      <c r="J24" s="6" t="s">
        <v>95</v>
      </c>
      <c r="K24" s="6">
        <v>3</v>
      </c>
      <c r="L24" s="6">
        <v>2</v>
      </c>
      <c r="M24" s="6" t="str" cm="1">
        <f t="array" ref="M24">_xlfn.SWITCH(L24,
1,"resident",
1.5,"resident and short-distance migrant",
2,"short-distance migrant",
2.5,"short- and long-distance migrant",
3,"long-distance migrant",
"")</f>
        <v>short-distance migrant</v>
      </c>
      <c r="N24" s="6" t="s">
        <v>96</v>
      </c>
      <c r="O24" s="6" t="s">
        <v>96</v>
      </c>
      <c r="P24" s="6"/>
      <c r="Q24" s="6" t="str">
        <f t="shared" si="4"/>
        <v>Grazing waterfowl</v>
      </c>
      <c r="R24" s="6">
        <v>0</v>
      </c>
      <c r="S24" s="6">
        <v>0.323325635</v>
      </c>
      <c r="T24" s="6">
        <v>0.92378752900000005</v>
      </c>
      <c r="U24" s="6">
        <f t="shared" si="1"/>
        <v>1.2471131639999999</v>
      </c>
      <c r="V24" s="7">
        <f t="shared" si="3"/>
        <v>27.111155739130435</v>
      </c>
      <c r="W24" s="6" t="s">
        <v>24</v>
      </c>
      <c r="X24" s="6" t="s">
        <v>24</v>
      </c>
      <c r="Y24" s="6" t="s">
        <v>24</v>
      </c>
      <c r="Z24" s="6" t="s">
        <v>25</v>
      </c>
      <c r="AA24" s="6"/>
      <c r="AB24" s="6"/>
      <c r="AC24" s="6"/>
      <c r="AD24" s="6"/>
      <c r="AE24" s="6" t="str">
        <f t="shared" si="2"/>
        <v/>
      </c>
      <c r="AF24" s="6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</row>
    <row r="25" spans="1:72">
      <c r="A25" s="6">
        <v>37</v>
      </c>
      <c r="B25" s="6">
        <v>37</v>
      </c>
      <c r="C25" s="6">
        <v>2180</v>
      </c>
      <c r="D25" s="6" t="s">
        <v>186</v>
      </c>
      <c r="E25" s="11" t="s">
        <v>187</v>
      </c>
      <c r="F25" s="14" t="s">
        <v>188</v>
      </c>
      <c r="G25" s="14" t="s">
        <v>189</v>
      </c>
      <c r="H25" s="14" t="s">
        <v>187</v>
      </c>
      <c r="I25" s="6" t="s">
        <v>94</v>
      </c>
      <c r="J25" s="6" t="s">
        <v>95</v>
      </c>
      <c r="K25" s="6">
        <v>3</v>
      </c>
      <c r="L25" s="6">
        <v>1</v>
      </c>
      <c r="M25" s="6" t="str" cm="1">
        <f t="array" ref="M25">_xlfn.SWITCH(L25,
1,"resident",
1.5,"resident and short-distance migrant",
2,"short-distance migrant",
2.5,"short- and long-distance migrant",
3,"long-distance migrant",
"")</f>
        <v>resident</v>
      </c>
      <c r="N25" s="6" t="s">
        <v>169</v>
      </c>
      <c r="O25" s="6" t="s">
        <v>169</v>
      </c>
      <c r="P25" s="6"/>
      <c r="Q25" s="6" t="str">
        <f t="shared" si="4"/>
        <v>Diving ducks</v>
      </c>
      <c r="R25" s="6">
        <v>4.6189375999999997E-2</v>
      </c>
      <c r="S25" s="6">
        <v>0.92378752900000005</v>
      </c>
      <c r="T25" s="6">
        <v>2.2632794459999999</v>
      </c>
      <c r="U25" s="6">
        <f t="shared" si="1"/>
        <v>3.2332563509999996</v>
      </c>
      <c r="V25" s="7">
        <f t="shared" si="3"/>
        <v>70.28818154347826</v>
      </c>
      <c r="W25" s="6" t="s">
        <v>24</v>
      </c>
      <c r="X25" s="6" t="s">
        <v>24</v>
      </c>
      <c r="Y25" s="6" t="s">
        <v>24</v>
      </c>
      <c r="Z25" s="6" t="s">
        <v>25</v>
      </c>
      <c r="AA25" s="6" t="s">
        <v>1039</v>
      </c>
      <c r="AB25" s="6"/>
      <c r="AC25" s="6"/>
      <c r="AD25" s="6"/>
      <c r="AE25" s="6" t="str">
        <f t="shared" si="2"/>
        <v/>
      </c>
      <c r="AF25" s="6"/>
    </row>
    <row r="26" spans="1:72" s="2" customFormat="1">
      <c r="A26" s="5">
        <v>36</v>
      </c>
      <c r="B26" s="5">
        <v>36</v>
      </c>
      <c r="C26" s="5">
        <v>2120</v>
      </c>
      <c r="D26" s="5" t="s">
        <v>182</v>
      </c>
      <c r="E26" s="16" t="s">
        <v>183</v>
      </c>
      <c r="F26" s="17" t="s">
        <v>184</v>
      </c>
      <c r="G26" s="17" t="s">
        <v>185</v>
      </c>
      <c r="H26" s="17" t="s">
        <v>183</v>
      </c>
      <c r="I26" s="5" t="s">
        <v>94</v>
      </c>
      <c r="J26" s="5" t="s">
        <v>95</v>
      </c>
      <c r="K26" s="5">
        <v>3</v>
      </c>
      <c r="L26" s="5"/>
      <c r="M26" s="5" t="str" cm="1">
        <f t="array" ref="M26">_xlfn.SWITCH(L26,
1,"resident",
1.5,"resident and short-distance migrant",
2,"short-distance migrant",
2.5,"short- and long-distance migrant",
3,"long-distance migrant",
"")</f>
        <v/>
      </c>
      <c r="N26" s="5"/>
      <c r="O26" s="5"/>
      <c r="P26" s="5" t="s">
        <v>1032</v>
      </c>
      <c r="Q26" s="5" t="str">
        <f t="shared" si="4"/>
        <v>Diving duck</v>
      </c>
      <c r="R26" s="5">
        <v>0</v>
      </c>
      <c r="S26" s="5">
        <v>0</v>
      </c>
      <c r="T26" s="5">
        <v>0</v>
      </c>
      <c r="U26" s="5">
        <f t="shared" si="1"/>
        <v>0</v>
      </c>
      <c r="V26" s="18">
        <f t="shared" si="3"/>
        <v>0</v>
      </c>
      <c r="W26" s="5" t="s">
        <v>50</v>
      </c>
      <c r="X26" s="5" t="s">
        <v>50</v>
      </c>
      <c r="Y26" s="5" t="s">
        <v>50</v>
      </c>
      <c r="Z26" s="5" t="s">
        <v>51</v>
      </c>
      <c r="AA26" s="5" t="s">
        <v>1035</v>
      </c>
      <c r="AB26" s="5">
        <v>1</v>
      </c>
      <c r="AC26" s="5"/>
      <c r="AD26" s="5"/>
      <c r="AE26" s="5">
        <f t="shared" si="2"/>
        <v>1</v>
      </c>
      <c r="AF26" s="5"/>
      <c r="AG26" s="2">
        <v>1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</row>
    <row r="27" spans="1:72">
      <c r="A27" s="6">
        <v>15</v>
      </c>
      <c r="B27" s="6">
        <v>15</v>
      </c>
      <c r="C27" s="6">
        <v>1540</v>
      </c>
      <c r="D27" s="6" t="s">
        <v>97</v>
      </c>
      <c r="E27" s="11" t="s">
        <v>98</v>
      </c>
      <c r="F27" s="14" t="s">
        <v>99</v>
      </c>
      <c r="G27" s="14" t="s">
        <v>100</v>
      </c>
      <c r="H27" s="14" t="s">
        <v>98</v>
      </c>
      <c r="I27" s="6" t="s">
        <v>94</v>
      </c>
      <c r="J27" s="6" t="s">
        <v>95</v>
      </c>
      <c r="K27" s="6">
        <v>3</v>
      </c>
      <c r="L27" s="6">
        <v>1.5</v>
      </c>
      <c r="M27" s="6" t="str" cm="1">
        <f t="array" ref="M27">_xlfn.SWITCH(L27,
1,"resident",
1.5,"resident and short-distance migrant",
2,"short-distance migrant",
2.5,"short- and long-distance migrant",
3,"long-distance migrant",
"")</f>
        <v>resident and short-distance migrant</v>
      </c>
      <c r="N27" s="6"/>
      <c r="O27" s="6"/>
      <c r="P27" s="6" t="s">
        <v>96</v>
      </c>
      <c r="Q27" s="6" t="str">
        <f t="shared" si="4"/>
        <v>Grazing waterfowl</v>
      </c>
      <c r="R27" s="6">
        <v>0</v>
      </c>
      <c r="S27" s="6">
        <v>9.2378752999999994E-2</v>
      </c>
      <c r="T27" s="6">
        <v>0.50808314099999996</v>
      </c>
      <c r="U27" s="6">
        <f t="shared" si="1"/>
        <v>0.60046189399999994</v>
      </c>
      <c r="V27" s="7">
        <f t="shared" si="3"/>
        <v>13.053519434782608</v>
      </c>
      <c r="W27" s="6" t="s">
        <v>24</v>
      </c>
      <c r="X27" s="6" t="s">
        <v>24</v>
      </c>
      <c r="Y27" s="6" t="s">
        <v>24</v>
      </c>
      <c r="Z27" s="6" t="s">
        <v>25</v>
      </c>
      <c r="AA27" s="6"/>
      <c r="AB27" s="6"/>
      <c r="AC27" s="6"/>
      <c r="AD27" s="6"/>
      <c r="AE27" s="6" t="str">
        <f t="shared" si="2"/>
        <v/>
      </c>
      <c r="AF27" s="6"/>
    </row>
    <row r="28" spans="1:72">
      <c r="A28" s="6">
        <v>14</v>
      </c>
      <c r="B28" s="6">
        <v>14</v>
      </c>
      <c r="C28" s="6">
        <v>1520</v>
      </c>
      <c r="D28" s="6" t="s">
        <v>90</v>
      </c>
      <c r="E28" s="11" t="s">
        <v>91</v>
      </c>
      <c r="F28" s="14" t="s">
        <v>92</v>
      </c>
      <c r="G28" s="14" t="s">
        <v>93</v>
      </c>
      <c r="H28" s="14" t="s">
        <v>91</v>
      </c>
      <c r="I28" s="6" t="s">
        <v>94</v>
      </c>
      <c r="J28" s="6" t="s">
        <v>95</v>
      </c>
      <c r="K28" s="6">
        <v>3</v>
      </c>
      <c r="L28" s="6">
        <v>1.5</v>
      </c>
      <c r="M28" s="6" t="str" cm="1">
        <f t="array" ref="M28">_xlfn.SWITCH(L28,
1,"resident",
1.5,"resident and short-distance migrant",
2,"short-distance migrant",
2.5,"short- and long-distance migrant",
3,"long-distance migrant",
"")</f>
        <v>resident and short-distance migrant</v>
      </c>
      <c r="N28" s="6" t="s">
        <v>96</v>
      </c>
      <c r="O28" s="6" t="s">
        <v>96</v>
      </c>
      <c r="P28" s="6"/>
      <c r="Q28" s="6" t="str">
        <f t="shared" si="4"/>
        <v>Grazing waterfowl</v>
      </c>
      <c r="R28" s="6">
        <v>41.939953809999999</v>
      </c>
      <c r="S28" s="6">
        <v>46.143187070000003</v>
      </c>
      <c r="T28" s="6">
        <v>53.764434180000002</v>
      </c>
      <c r="U28" s="6">
        <f t="shared" si="1"/>
        <v>141.84757506</v>
      </c>
      <c r="V28" s="7">
        <f t="shared" si="3"/>
        <v>3083.6429360869565</v>
      </c>
      <c r="W28" s="6" t="s">
        <v>24</v>
      </c>
      <c r="X28" s="6" t="s">
        <v>24</v>
      </c>
      <c r="Y28" s="6" t="s">
        <v>24</v>
      </c>
      <c r="Z28" s="6" t="s">
        <v>25</v>
      </c>
      <c r="AA28" s="6"/>
      <c r="AB28" s="6"/>
      <c r="AC28" s="6"/>
      <c r="AD28" s="6"/>
      <c r="AE28" s="6" t="str">
        <f t="shared" si="2"/>
        <v/>
      </c>
      <c r="AF28" s="6"/>
    </row>
    <row r="29" spans="1:72">
      <c r="A29" s="6">
        <v>24</v>
      </c>
      <c r="B29" s="6">
        <v>24</v>
      </c>
      <c r="C29" s="6">
        <v>1790</v>
      </c>
      <c r="D29" s="6" t="s">
        <v>135</v>
      </c>
      <c r="E29" s="11" t="s">
        <v>136</v>
      </c>
      <c r="F29" s="14" t="s">
        <v>137</v>
      </c>
      <c r="G29" s="14" t="s">
        <v>138</v>
      </c>
      <c r="H29" s="14" t="s">
        <v>136</v>
      </c>
      <c r="I29" s="6" t="s">
        <v>94</v>
      </c>
      <c r="J29" s="6" t="s">
        <v>95</v>
      </c>
      <c r="K29" s="6">
        <v>3</v>
      </c>
      <c r="L29" s="6">
        <v>2</v>
      </c>
      <c r="M29" s="6" t="str" cm="1">
        <f t="array" ref="M29">_xlfn.SWITCH(L29,
1,"resident",
1.5,"resident and short-distance migrant",
2,"short-distance migrant",
2.5,"short- and long-distance migrant",
3,"long-distance migrant",
"")</f>
        <v>short-distance migrant</v>
      </c>
      <c r="N29" s="6" t="s">
        <v>96</v>
      </c>
      <c r="O29" s="6" t="s">
        <v>96</v>
      </c>
      <c r="P29" s="6"/>
      <c r="Q29" s="6" t="str">
        <f t="shared" si="4"/>
        <v>Grazing waterfowl</v>
      </c>
      <c r="R29" s="6">
        <v>0.13856812900000001</v>
      </c>
      <c r="S29" s="6">
        <v>0.41570438799999998</v>
      </c>
      <c r="T29" s="6">
        <v>4.6189375999999997E-2</v>
      </c>
      <c r="U29" s="6">
        <f t="shared" si="1"/>
        <v>0.60046189299999997</v>
      </c>
      <c r="V29" s="7">
        <f t="shared" si="3"/>
        <v>13.053519413043478</v>
      </c>
      <c r="W29" s="6" t="s">
        <v>30</v>
      </c>
      <c r="X29" s="6" t="s">
        <v>24</v>
      </c>
      <c r="Y29" s="6" t="s">
        <v>30</v>
      </c>
      <c r="Z29" s="6" t="s">
        <v>31</v>
      </c>
      <c r="AA29" s="6"/>
      <c r="AB29" s="6"/>
      <c r="AC29" s="6"/>
      <c r="AD29" s="6"/>
      <c r="AE29" s="6" t="str">
        <f t="shared" si="2"/>
        <v/>
      </c>
      <c r="AF29" s="6"/>
    </row>
    <row r="30" spans="1:72">
      <c r="A30" s="6">
        <v>25</v>
      </c>
      <c r="B30" s="6">
        <v>25</v>
      </c>
      <c r="C30" s="6">
        <v>1820</v>
      </c>
      <c r="D30" s="6" t="s">
        <v>139</v>
      </c>
      <c r="E30" s="11" t="s">
        <v>140</v>
      </c>
      <c r="F30" s="14" t="s">
        <v>141</v>
      </c>
      <c r="G30" s="14" t="s">
        <v>141</v>
      </c>
      <c r="H30" s="14" t="s">
        <v>140</v>
      </c>
      <c r="I30" s="6" t="s">
        <v>94</v>
      </c>
      <c r="J30" s="6" t="s">
        <v>95</v>
      </c>
      <c r="K30" s="6">
        <v>2</v>
      </c>
      <c r="L30" s="6">
        <v>2</v>
      </c>
      <c r="M30" s="6" t="str" cm="1">
        <f t="array" ref="M30">_xlfn.SWITCH(L30,
1,"resident",
1.5,"resident and short-distance migrant",
2,"short-distance migrant",
2.5,"short- and long-distance migrant",
3,"long-distance migrant",
"")</f>
        <v>short-distance migrant</v>
      </c>
      <c r="N30" s="6" t="s">
        <v>129</v>
      </c>
      <c r="O30" s="6" t="s">
        <v>129</v>
      </c>
      <c r="P30" s="6"/>
      <c r="Q30" s="6" t="str">
        <f t="shared" si="4"/>
        <v>Dabbling ducks</v>
      </c>
      <c r="R30" s="6">
        <v>0.78521940000000001</v>
      </c>
      <c r="S30" s="6">
        <v>4.3879907620000003</v>
      </c>
      <c r="T30" s="6">
        <v>8.4526558890000008</v>
      </c>
      <c r="U30" s="6">
        <f t="shared" si="1"/>
        <v>13.625866051000001</v>
      </c>
      <c r="V30" s="7">
        <f t="shared" si="3"/>
        <v>296.21447936956525</v>
      </c>
      <c r="W30" s="6" t="s">
        <v>24</v>
      </c>
      <c r="X30" s="6" t="s">
        <v>24</v>
      </c>
      <c r="Y30" s="6" t="s">
        <v>24</v>
      </c>
      <c r="Z30" s="6" t="s">
        <v>25</v>
      </c>
      <c r="AA30" s="6"/>
      <c r="AB30" s="6"/>
      <c r="AC30" s="6"/>
      <c r="AD30" s="6"/>
      <c r="AE30" s="6" t="str">
        <f t="shared" si="2"/>
        <v/>
      </c>
      <c r="AF30" s="6"/>
    </row>
    <row r="31" spans="1:72" s="2" customFormat="1">
      <c r="A31" s="5">
        <v>38</v>
      </c>
      <c r="B31" s="5">
        <v>38</v>
      </c>
      <c r="C31" s="5">
        <v>2200</v>
      </c>
      <c r="D31" s="5" t="s">
        <v>190</v>
      </c>
      <c r="E31" s="16" t="s">
        <v>191</v>
      </c>
      <c r="F31" s="17" t="s">
        <v>192</v>
      </c>
      <c r="G31" s="17" t="s">
        <v>192</v>
      </c>
      <c r="H31" s="17" t="s">
        <v>191</v>
      </c>
      <c r="I31" s="5" t="s">
        <v>94</v>
      </c>
      <c r="J31" s="5" t="s">
        <v>95</v>
      </c>
      <c r="K31" s="5">
        <v>3</v>
      </c>
      <c r="L31" s="5"/>
      <c r="M31" s="5" t="str" cm="1">
        <f t="array" ref="M31">_xlfn.SWITCH(L31,
1,"resident",
1.5,"resident and short-distance migrant",
2,"short-distance migrant",
2.5,"short- and long-distance migrant",
3,"long-distance migrant",
"")</f>
        <v/>
      </c>
      <c r="N31" s="5"/>
      <c r="O31" s="5"/>
      <c r="P31" s="5" t="s">
        <v>1032</v>
      </c>
      <c r="Q31" s="5" t="str">
        <f t="shared" si="4"/>
        <v>Diving duck</v>
      </c>
      <c r="R31" s="5">
        <v>0</v>
      </c>
      <c r="S31" s="5">
        <v>0</v>
      </c>
      <c r="T31" s="5">
        <v>0</v>
      </c>
      <c r="U31" s="5">
        <f t="shared" si="1"/>
        <v>0</v>
      </c>
      <c r="V31" s="18">
        <f t="shared" si="3"/>
        <v>0</v>
      </c>
      <c r="W31" s="5" t="s">
        <v>50</v>
      </c>
      <c r="X31" s="5" t="s">
        <v>50</v>
      </c>
      <c r="Y31" s="5" t="s">
        <v>50</v>
      </c>
      <c r="Z31" s="5" t="s">
        <v>51</v>
      </c>
      <c r="AA31" s="5" t="s">
        <v>1035</v>
      </c>
      <c r="AB31" s="5">
        <v>1</v>
      </c>
      <c r="AC31" s="5"/>
      <c r="AD31" s="5"/>
      <c r="AE31" s="5">
        <f t="shared" si="2"/>
        <v>1</v>
      </c>
      <c r="AF31" s="5"/>
      <c r="AG31" s="2">
        <v>1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</row>
    <row r="32" spans="1:72" s="3" customFormat="1">
      <c r="A32" s="6">
        <v>40</v>
      </c>
      <c r="B32" s="6">
        <v>40</v>
      </c>
      <c r="C32" s="6">
        <v>2230</v>
      </c>
      <c r="D32" s="6" t="s">
        <v>197</v>
      </c>
      <c r="E32" s="11" t="s">
        <v>198</v>
      </c>
      <c r="F32" s="14" t="s">
        <v>199</v>
      </c>
      <c r="G32" s="14" t="s">
        <v>200</v>
      </c>
      <c r="H32" s="14" t="s">
        <v>198</v>
      </c>
      <c r="I32" s="6" t="s">
        <v>94</v>
      </c>
      <c r="J32" s="6" t="s">
        <v>95</v>
      </c>
      <c r="K32" s="6">
        <v>3</v>
      </c>
      <c r="L32" s="6">
        <v>2</v>
      </c>
      <c r="M32" s="6" t="str" cm="1">
        <f t="array" ref="M32">_xlfn.SWITCH(L32,
1,"resident",
1.5,"resident and short-distance migrant",
2,"short-distance migrant",
2.5,"short- and long-distance migrant",
3,"long-distance migrant",
"")</f>
        <v>short-distance migrant</v>
      </c>
      <c r="N32" s="6" t="s">
        <v>23</v>
      </c>
      <c r="O32" s="6" t="s">
        <v>23</v>
      </c>
      <c r="P32" s="6"/>
      <c r="Q32" s="6" t="str">
        <f t="shared" si="4"/>
        <v>Aquatic pursuers</v>
      </c>
      <c r="R32" s="6">
        <v>0.83140877599999996</v>
      </c>
      <c r="S32" s="6">
        <v>1.709006928</v>
      </c>
      <c r="T32" s="6">
        <v>3.6951501150000001</v>
      </c>
      <c r="U32" s="6">
        <f t="shared" si="1"/>
        <v>6.2355658189999996</v>
      </c>
      <c r="V32" s="7">
        <f t="shared" si="3"/>
        <v>135.55577867391304</v>
      </c>
      <c r="W32" s="6" t="s">
        <v>24</v>
      </c>
      <c r="X32" s="6" t="s">
        <v>24</v>
      </c>
      <c r="Y32" s="6" t="s">
        <v>24</v>
      </c>
      <c r="Z32" s="6" t="s">
        <v>25</v>
      </c>
      <c r="AA32" s="6"/>
      <c r="AB32" s="6"/>
      <c r="AC32" s="6"/>
      <c r="AD32" s="6"/>
      <c r="AE32" s="6" t="str">
        <f t="shared" si="2"/>
        <v/>
      </c>
      <c r="AF32" s="6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</row>
    <row r="33" spans="1:72">
      <c r="A33" s="6">
        <v>39</v>
      </c>
      <c r="B33" s="6">
        <v>39</v>
      </c>
      <c r="C33" s="6">
        <v>2210</v>
      </c>
      <c r="D33" s="6" t="s">
        <v>193</v>
      </c>
      <c r="E33" s="11" t="s">
        <v>194</v>
      </c>
      <c r="F33" s="14" t="s">
        <v>195</v>
      </c>
      <c r="G33" s="14" t="s">
        <v>196</v>
      </c>
      <c r="H33" s="14" t="s">
        <v>194</v>
      </c>
      <c r="I33" s="6" t="s">
        <v>94</v>
      </c>
      <c r="J33" s="6" t="s">
        <v>95</v>
      </c>
      <c r="K33" s="6">
        <v>3</v>
      </c>
      <c r="L33" s="6">
        <v>2</v>
      </c>
      <c r="M33" s="6" t="str" cm="1">
        <f t="array" ref="M33">_xlfn.SWITCH(L33,
1,"resident",
1.5,"resident and short-distance migrant",
2,"short-distance migrant",
2.5,"short- and long-distance migrant",
3,"long-distance migrant",
"")</f>
        <v>short-distance migrant</v>
      </c>
      <c r="N33" s="6" t="s">
        <v>23</v>
      </c>
      <c r="O33" s="6" t="s">
        <v>23</v>
      </c>
      <c r="P33" s="6"/>
      <c r="Q33" s="6" t="str">
        <f t="shared" si="4"/>
        <v>Aquatic pursuers</v>
      </c>
      <c r="R33" s="6">
        <v>16.443418009999998</v>
      </c>
      <c r="S33" s="6">
        <v>16.581986140000001</v>
      </c>
      <c r="T33" s="6">
        <v>9.9769053119999995</v>
      </c>
      <c r="U33" s="6">
        <f t="shared" si="1"/>
        <v>43.002309461999999</v>
      </c>
      <c r="V33" s="7">
        <f t="shared" si="3"/>
        <v>934.8328143913044</v>
      </c>
      <c r="W33" s="6" t="s">
        <v>30</v>
      </c>
      <c r="X33" s="6" t="s">
        <v>24</v>
      </c>
      <c r="Y33" s="6" t="s">
        <v>30</v>
      </c>
      <c r="Z33" s="6" t="s">
        <v>31</v>
      </c>
      <c r="AA33" s="6"/>
      <c r="AB33" s="6"/>
      <c r="AC33" s="6"/>
      <c r="AD33" s="6"/>
      <c r="AE33" s="6" t="str">
        <f t="shared" si="2"/>
        <v/>
      </c>
      <c r="AF33" s="6"/>
    </row>
    <row r="34" spans="1:72" s="2" customFormat="1">
      <c r="A34" s="5">
        <v>31</v>
      </c>
      <c r="B34" s="5">
        <v>31</v>
      </c>
      <c r="C34" s="5">
        <v>1960</v>
      </c>
      <c r="D34" s="5" t="s">
        <v>160</v>
      </c>
      <c r="E34" s="16" t="s">
        <v>161</v>
      </c>
      <c r="F34" s="17" t="s">
        <v>162</v>
      </c>
      <c r="G34" s="17" t="s">
        <v>163</v>
      </c>
      <c r="H34" s="17" t="s">
        <v>161</v>
      </c>
      <c r="I34" s="5" t="s">
        <v>94</v>
      </c>
      <c r="J34" s="5" t="s">
        <v>95</v>
      </c>
      <c r="K34" s="5">
        <v>2</v>
      </c>
      <c r="L34" s="5">
        <v>2</v>
      </c>
      <c r="M34" s="5" t="str" cm="1">
        <f t="array" ref="M34">_xlfn.SWITCH(L34,
1,"resident",
1.5,"resident and short-distance migrant",
2,"short-distance migrant",
2.5,"short- and long-distance migrant",
3,"long-distance migrant",
"")</f>
        <v>short-distance migrant</v>
      </c>
      <c r="N34" s="5"/>
      <c r="O34" s="5"/>
      <c r="P34" s="5" t="s">
        <v>129</v>
      </c>
      <c r="Q34" s="5" t="str">
        <f t="shared" si="4"/>
        <v>Dabbling ducks</v>
      </c>
      <c r="R34" s="5">
        <v>0.13856812900000001</v>
      </c>
      <c r="S34" s="5">
        <v>0</v>
      </c>
      <c r="T34" s="5">
        <v>0.13856812900000001</v>
      </c>
      <c r="U34" s="5">
        <f t="shared" si="1"/>
        <v>0.27713625800000002</v>
      </c>
      <c r="V34" s="18">
        <f t="shared" si="3"/>
        <v>6.0247012608695663</v>
      </c>
      <c r="W34" s="5" t="s">
        <v>50</v>
      </c>
      <c r="X34" s="5" t="s">
        <v>30</v>
      </c>
      <c r="Y34" s="5" t="s">
        <v>24</v>
      </c>
      <c r="Z34" s="5" t="s">
        <v>164</v>
      </c>
      <c r="AA34" s="5" t="s">
        <v>1038</v>
      </c>
      <c r="AB34" s="5"/>
      <c r="AC34" s="5"/>
      <c r="AD34" s="5">
        <v>1</v>
      </c>
      <c r="AE34" s="5" t="str">
        <f t="shared" si="2"/>
        <v/>
      </c>
      <c r="AF34" s="5"/>
      <c r="AG34" s="2">
        <v>1</v>
      </c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</row>
    <row r="35" spans="1:72" s="1" customFormat="1">
      <c r="A35" s="6">
        <v>35</v>
      </c>
      <c r="B35" s="6">
        <v>35</v>
      </c>
      <c r="C35" s="6">
        <v>2060</v>
      </c>
      <c r="D35" s="6" t="s">
        <v>178</v>
      </c>
      <c r="E35" s="11" t="s">
        <v>179</v>
      </c>
      <c r="F35" s="14" t="s">
        <v>180</v>
      </c>
      <c r="G35" s="14" t="s">
        <v>181</v>
      </c>
      <c r="H35" s="14" t="s">
        <v>179</v>
      </c>
      <c r="I35" s="6" t="s">
        <v>94</v>
      </c>
      <c r="J35" s="6" t="s">
        <v>95</v>
      </c>
      <c r="K35" s="6">
        <v>2</v>
      </c>
      <c r="L35" s="6">
        <v>2</v>
      </c>
      <c r="M35" s="6" t="str" cm="1">
        <f t="array" ref="M35">_xlfn.SWITCH(L35,
1,"resident",
1.5,"resident and short-distance migrant",
2,"short-distance migrant",
2.5,"short- and long-distance migrant",
3,"long-distance migrant",
"")</f>
        <v>short-distance migrant</v>
      </c>
      <c r="N35" s="6" t="s">
        <v>169</v>
      </c>
      <c r="O35" s="6" t="s">
        <v>169</v>
      </c>
      <c r="P35" s="6"/>
      <c r="Q35" s="6" t="str">
        <f t="shared" si="4"/>
        <v>Diving ducks</v>
      </c>
      <c r="R35" s="6">
        <v>5.4041570439999997</v>
      </c>
      <c r="S35" s="6">
        <v>8.5912240180000001</v>
      </c>
      <c r="T35" s="6">
        <v>7.2055427249999999</v>
      </c>
      <c r="U35" s="6">
        <f t="shared" si="1"/>
        <v>21.200923787000001</v>
      </c>
      <c r="V35" s="7">
        <f t="shared" si="3"/>
        <v>460.8896475434783</v>
      </c>
      <c r="W35" s="6" t="s">
        <v>24</v>
      </c>
      <c r="X35" s="6" t="s">
        <v>24</v>
      </c>
      <c r="Y35" s="6" t="s">
        <v>30</v>
      </c>
      <c r="Z35" s="6" t="s">
        <v>31</v>
      </c>
      <c r="AA35" s="6" t="s">
        <v>1039</v>
      </c>
      <c r="AB35" s="6"/>
      <c r="AC35" s="6"/>
      <c r="AD35" s="6"/>
      <c r="AE35" s="6" t="str">
        <f t="shared" si="2"/>
        <v/>
      </c>
      <c r="AF35" s="6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</row>
    <row r="36" spans="1:72">
      <c r="A36" s="6">
        <v>30</v>
      </c>
      <c r="B36" s="6">
        <v>30</v>
      </c>
      <c r="C36" s="6">
        <v>1940</v>
      </c>
      <c r="D36" s="6" t="s">
        <v>156</v>
      </c>
      <c r="E36" s="11" t="s">
        <v>157</v>
      </c>
      <c r="F36" s="14" t="s">
        <v>158</v>
      </c>
      <c r="G36" s="14" t="s">
        <v>159</v>
      </c>
      <c r="H36" s="14" t="s">
        <v>157</v>
      </c>
      <c r="I36" s="6" t="s">
        <v>94</v>
      </c>
      <c r="J36" s="6" t="s">
        <v>95</v>
      </c>
      <c r="K36" s="6">
        <v>3</v>
      </c>
      <c r="L36" s="6">
        <v>2</v>
      </c>
      <c r="M36" s="6" t="str" cm="1">
        <f t="array" ref="M36">_xlfn.SWITCH(L36,
1,"resident",
1.5,"resident and short-distance migrant",
2,"short-distance migrant",
2.5,"short- and long-distance migrant",
3,"long-distance migrant",
"")</f>
        <v>short-distance migrant</v>
      </c>
      <c r="N36" s="6" t="s">
        <v>129</v>
      </c>
      <c r="O36" s="6" t="s">
        <v>129</v>
      </c>
      <c r="P36" s="6"/>
      <c r="Q36" s="6" t="str">
        <f t="shared" si="4"/>
        <v>Dabbling ducks</v>
      </c>
      <c r="R36" s="6">
        <v>8.8221709009999998</v>
      </c>
      <c r="S36" s="6">
        <v>11.59353349</v>
      </c>
      <c r="T36" s="6">
        <v>8.5912240180000001</v>
      </c>
      <c r="U36" s="6">
        <f t="shared" si="1"/>
        <v>29.006928408999997</v>
      </c>
      <c r="V36" s="7">
        <f t="shared" si="3"/>
        <v>630.58540019565214</v>
      </c>
      <c r="W36" s="6" t="s">
        <v>30</v>
      </c>
      <c r="X36" s="6" t="s">
        <v>24</v>
      </c>
      <c r="Y36" s="6" t="s">
        <v>30</v>
      </c>
      <c r="Z36" s="6" t="s">
        <v>31</v>
      </c>
      <c r="AA36" s="6"/>
      <c r="AB36" s="6"/>
      <c r="AC36" s="6"/>
      <c r="AD36" s="6"/>
      <c r="AE36" s="6" t="str">
        <f t="shared" si="2"/>
        <v/>
      </c>
      <c r="AF36" s="6"/>
    </row>
    <row r="37" spans="1:72" s="1" customFormat="1">
      <c r="A37" s="6">
        <v>29</v>
      </c>
      <c r="B37" s="6">
        <v>29</v>
      </c>
      <c r="C37" s="6">
        <v>1910</v>
      </c>
      <c r="D37" s="6" t="s">
        <v>153</v>
      </c>
      <c r="E37" s="11" t="s">
        <v>154</v>
      </c>
      <c r="F37" s="14" t="s">
        <v>155</v>
      </c>
      <c r="G37" s="14" t="s">
        <v>155</v>
      </c>
      <c r="H37" s="14" t="s">
        <v>154</v>
      </c>
      <c r="I37" s="6" t="s">
        <v>94</v>
      </c>
      <c r="J37" s="6" t="s">
        <v>95</v>
      </c>
      <c r="K37" s="6">
        <v>3</v>
      </c>
      <c r="L37" s="6">
        <v>3</v>
      </c>
      <c r="M37" s="6" t="str" cm="1">
        <f t="array" ref="M37">_xlfn.SWITCH(L37,
1,"resident",
1.5,"resident and short-distance migrant",
2,"short-distance migrant",
2.5,"short- and long-distance migrant",
3,"long-distance migrant",
"")</f>
        <v>long-distance migrant</v>
      </c>
      <c r="N37" s="6" t="s">
        <v>129</v>
      </c>
      <c r="O37" s="6" t="s">
        <v>129</v>
      </c>
      <c r="P37" s="6"/>
      <c r="Q37" s="6" t="str">
        <f t="shared" si="4"/>
        <v>Dabbling ducks</v>
      </c>
      <c r="R37" s="6">
        <v>5.2655889150000004</v>
      </c>
      <c r="S37" s="6">
        <v>5.0346420319999998</v>
      </c>
      <c r="T37" s="6">
        <v>4.0646651269999996</v>
      </c>
      <c r="U37" s="6">
        <f t="shared" si="1"/>
        <v>14.364896073999999</v>
      </c>
      <c r="V37" s="7">
        <f t="shared" si="3"/>
        <v>312.28034943478258</v>
      </c>
      <c r="W37" s="6" t="s">
        <v>30</v>
      </c>
      <c r="X37" s="6" t="s">
        <v>30</v>
      </c>
      <c r="Y37" s="6" t="s">
        <v>30</v>
      </c>
      <c r="Z37" s="6" t="s">
        <v>84</v>
      </c>
      <c r="AA37" s="6"/>
      <c r="AB37" s="6"/>
      <c r="AC37" s="6"/>
      <c r="AD37" s="6"/>
      <c r="AE37" s="6" t="str">
        <f t="shared" si="2"/>
        <v/>
      </c>
      <c r="AF37" s="6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</row>
    <row r="38" spans="1:72" s="2" customFormat="1">
      <c r="A38" s="5">
        <v>21</v>
      </c>
      <c r="B38" s="5">
        <v>21</v>
      </c>
      <c r="C38" s="5">
        <v>1710</v>
      </c>
      <c r="D38" s="5" t="s">
        <v>121</v>
      </c>
      <c r="E38" s="16" t="s">
        <v>122</v>
      </c>
      <c r="F38" s="17" t="s">
        <v>123</v>
      </c>
      <c r="G38" s="17" t="s">
        <v>124</v>
      </c>
      <c r="H38" s="17" t="s">
        <v>122</v>
      </c>
      <c r="I38" s="5" t="s">
        <v>94</v>
      </c>
      <c r="J38" s="5" t="s">
        <v>95</v>
      </c>
      <c r="K38" s="5">
        <v>2</v>
      </c>
      <c r="L38" s="5"/>
      <c r="M38" s="5" t="str" cm="1">
        <f t="array" ref="M38">_xlfn.SWITCH(L38,
1,"resident",
1.5,"resident and short-distance migrant",
2,"short-distance migrant",
2.5,"short- and long-distance migrant",
3,"long-distance migrant",
"")</f>
        <v/>
      </c>
      <c r="N38" s="5"/>
      <c r="O38" s="5"/>
      <c r="P38" s="5" t="s">
        <v>129</v>
      </c>
      <c r="Q38" s="5" t="str">
        <f t="shared" si="4"/>
        <v>Dabbling ducks</v>
      </c>
      <c r="R38" s="5">
        <v>0</v>
      </c>
      <c r="S38" s="5">
        <v>4.6189375999999997E-2</v>
      </c>
      <c r="T38" s="5">
        <v>0</v>
      </c>
      <c r="U38" s="5">
        <f t="shared" si="1"/>
        <v>4.6189375999999997E-2</v>
      </c>
      <c r="V38" s="18">
        <f t="shared" si="3"/>
        <v>1.0041168695652174</v>
      </c>
      <c r="W38" s="5" t="s">
        <v>50</v>
      </c>
      <c r="X38" s="5" t="s">
        <v>24</v>
      </c>
      <c r="Y38" s="5" t="s">
        <v>30</v>
      </c>
      <c r="Z38" s="5" t="s">
        <v>31</v>
      </c>
      <c r="AA38" s="5" t="s">
        <v>1037</v>
      </c>
      <c r="AB38" s="5"/>
      <c r="AC38" s="5">
        <v>1</v>
      </c>
      <c r="AD38" s="5"/>
      <c r="AE38" s="5">
        <f t="shared" si="2"/>
        <v>1</v>
      </c>
      <c r="AF38" s="5"/>
      <c r="AG38" s="2">
        <v>1</v>
      </c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</row>
    <row r="39" spans="1:72" s="1" customFormat="1">
      <c r="A39" s="6">
        <v>22</v>
      </c>
      <c r="B39" s="6">
        <v>22</v>
      </c>
      <c r="C39" s="6">
        <v>1730</v>
      </c>
      <c r="D39" s="6" t="s">
        <v>125</v>
      </c>
      <c r="E39" s="11" t="s">
        <v>126</v>
      </c>
      <c r="F39" s="14" t="s">
        <v>127</v>
      </c>
      <c r="G39" s="14" t="s">
        <v>128</v>
      </c>
      <c r="H39" s="14" t="s">
        <v>126</v>
      </c>
      <c r="I39" s="6" t="s">
        <v>94</v>
      </c>
      <c r="J39" s="6" t="s">
        <v>95</v>
      </c>
      <c r="K39" s="6">
        <v>2</v>
      </c>
      <c r="L39" s="6">
        <v>2</v>
      </c>
      <c r="M39" s="6" t="str" cm="1">
        <f t="array" ref="M39">_xlfn.SWITCH(L39,
1,"resident",
1.5,"resident and short-distance migrant",
2,"short-distance migrant",
2.5,"short- and long-distance migrant",
3,"long-distance migrant",
"")</f>
        <v>short-distance migrant</v>
      </c>
      <c r="N39" s="6" t="s">
        <v>129</v>
      </c>
      <c r="O39" s="6" t="s">
        <v>129</v>
      </c>
      <c r="P39" s="6"/>
      <c r="Q39" s="6" t="str">
        <f t="shared" si="4"/>
        <v>Dabbling ducks</v>
      </c>
      <c r="R39" s="6">
        <v>44.203233259999998</v>
      </c>
      <c r="S39" s="6">
        <v>56.443418010000002</v>
      </c>
      <c r="T39" s="6">
        <v>40.046189380000001</v>
      </c>
      <c r="U39" s="6">
        <f t="shared" si="1"/>
        <v>140.69284064999999</v>
      </c>
      <c r="V39" s="7">
        <f t="shared" si="3"/>
        <v>3058.5400141304349</v>
      </c>
      <c r="W39" s="6" t="s">
        <v>30</v>
      </c>
      <c r="X39" s="6" t="s">
        <v>24</v>
      </c>
      <c r="Y39" s="6" t="s">
        <v>30</v>
      </c>
      <c r="Z39" s="6" t="s">
        <v>31</v>
      </c>
      <c r="AA39" s="6"/>
      <c r="AB39" s="6"/>
      <c r="AC39" s="6"/>
      <c r="AD39" s="6"/>
      <c r="AE39" s="6" t="str">
        <f t="shared" si="2"/>
        <v/>
      </c>
      <c r="AF39" s="6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</row>
    <row r="40" spans="1:72" s="2" customFormat="1">
      <c r="A40" s="5">
        <v>121</v>
      </c>
      <c r="B40" s="5">
        <v>121</v>
      </c>
      <c r="C40" s="5">
        <v>8460</v>
      </c>
      <c r="D40" s="5" t="s">
        <v>561</v>
      </c>
      <c r="E40" s="16" t="s">
        <v>562</v>
      </c>
      <c r="F40" s="17" t="s">
        <v>563</v>
      </c>
      <c r="G40" s="17" t="s">
        <v>564</v>
      </c>
      <c r="H40" s="17" t="s">
        <v>562</v>
      </c>
      <c r="I40" s="5" t="s">
        <v>565</v>
      </c>
      <c r="J40" s="5" t="s">
        <v>566</v>
      </c>
      <c r="K40" s="5">
        <v>3</v>
      </c>
      <c r="L40" s="5"/>
      <c r="M40" s="5" t="str" cm="1">
        <f t="array" ref="M40">_xlfn.SWITCH(L40,
1,"resident",
1.5,"resident and short-distance migrant",
2,"short-distance migrant",
2.5,"short- and long-distance migrant",
3,"long-distance migrant",
"")</f>
        <v/>
      </c>
      <c r="N40" s="5"/>
      <c r="O40" s="5"/>
      <c r="P40" s="5" t="s">
        <v>1055</v>
      </c>
      <c r="Q40" s="5" t="str">
        <f t="shared" si="4"/>
        <v>Hoopoes</v>
      </c>
      <c r="R40" s="5">
        <v>0</v>
      </c>
      <c r="S40" s="5">
        <v>4.6189375999999997E-2</v>
      </c>
      <c r="T40" s="5">
        <v>9.2378752999999994E-2</v>
      </c>
      <c r="U40" s="5">
        <f t="shared" si="1"/>
        <v>0.13856812899999998</v>
      </c>
      <c r="V40" s="18">
        <f t="shared" si="3"/>
        <v>3.0123506304347822</v>
      </c>
      <c r="W40" s="5" t="s">
        <v>24</v>
      </c>
      <c r="X40" s="5" t="s">
        <v>24</v>
      </c>
      <c r="Y40" s="5" t="s">
        <v>24</v>
      </c>
      <c r="Z40" s="5" t="s">
        <v>25</v>
      </c>
      <c r="AA40" s="5" t="s">
        <v>1045</v>
      </c>
      <c r="AB40" s="5"/>
      <c r="AC40" s="5"/>
      <c r="AD40" s="5">
        <v>1</v>
      </c>
      <c r="AE40" s="5">
        <f t="shared" si="2"/>
        <v>1</v>
      </c>
      <c r="AF40" s="5"/>
      <c r="AG40" s="2">
        <v>1</v>
      </c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</row>
    <row r="41" spans="1:72">
      <c r="A41" s="6">
        <v>118</v>
      </c>
      <c r="B41" s="6">
        <v>118</v>
      </c>
      <c r="C41" s="6">
        <v>7950</v>
      </c>
      <c r="D41" s="6" t="s">
        <v>543</v>
      </c>
      <c r="E41" s="11" t="s">
        <v>544</v>
      </c>
      <c r="F41" s="14" t="s">
        <v>545</v>
      </c>
      <c r="G41" s="14" t="s">
        <v>546</v>
      </c>
      <c r="H41" s="14" t="s">
        <v>544</v>
      </c>
      <c r="I41" s="6" t="s">
        <v>547</v>
      </c>
      <c r="J41" s="6" t="s">
        <v>542</v>
      </c>
      <c r="K41" s="6">
        <v>3</v>
      </c>
      <c r="L41" s="6">
        <v>3</v>
      </c>
      <c r="M41" s="6" t="str" cm="1">
        <f t="array" ref="M41">_xlfn.SWITCH(L41,
1,"resident",
1.5,"resident and short-distance migrant",
2,"short-distance migrant",
2.5,"short- and long-distance migrant",
3,"long-distance migrant",
"")</f>
        <v>long-distance migrant</v>
      </c>
      <c r="N41" s="6" t="s">
        <v>548</v>
      </c>
      <c r="O41" s="6" t="s">
        <v>548</v>
      </c>
      <c r="P41" s="6"/>
      <c r="Q41" s="6" t="str">
        <f t="shared" si="4"/>
        <v>Aerial insectivores</v>
      </c>
      <c r="R41" s="6">
        <v>21.755196300000001</v>
      </c>
      <c r="S41" s="6">
        <v>28.637413389999999</v>
      </c>
      <c r="T41" s="6">
        <v>27.15935335</v>
      </c>
      <c r="U41" s="6">
        <f t="shared" si="1"/>
        <v>77.551963040000004</v>
      </c>
      <c r="V41" s="7">
        <f t="shared" si="3"/>
        <v>1685.9122400000001</v>
      </c>
      <c r="W41" s="6" t="s">
        <v>24</v>
      </c>
      <c r="X41" s="6" t="s">
        <v>24</v>
      </c>
      <c r="Y41" s="6" t="s">
        <v>30</v>
      </c>
      <c r="Z41" s="6" t="s">
        <v>31</v>
      </c>
      <c r="AA41" s="6"/>
      <c r="AB41" s="6"/>
      <c r="AC41" s="6"/>
      <c r="AD41" s="6"/>
      <c r="AE41" s="6" t="str">
        <f t="shared" si="2"/>
        <v/>
      </c>
      <c r="AF41" s="6"/>
    </row>
    <row r="42" spans="1:72">
      <c r="A42" s="6">
        <v>117</v>
      </c>
      <c r="B42" s="6">
        <v>117</v>
      </c>
      <c r="C42" s="6">
        <v>7780</v>
      </c>
      <c r="D42" s="6" t="s">
        <v>537</v>
      </c>
      <c r="E42" s="11" t="s">
        <v>538</v>
      </c>
      <c r="F42" s="14" t="s">
        <v>539</v>
      </c>
      <c r="G42" s="14" t="s">
        <v>540</v>
      </c>
      <c r="H42" s="14" t="s">
        <v>538</v>
      </c>
      <c r="I42" s="6" t="s">
        <v>541</v>
      </c>
      <c r="J42" s="6" t="s">
        <v>542</v>
      </c>
      <c r="K42" s="6">
        <v>3</v>
      </c>
      <c r="L42" s="6">
        <v>3</v>
      </c>
      <c r="M42" s="6" t="str" cm="1">
        <f t="array" ref="M42">_xlfn.SWITCH(L42,
1,"resident",
1.5,"resident and short-distance migrant",
2,"short-distance migrant",
2.5,"short- and long-distance migrant",
3,"long-distance migrant",
"")</f>
        <v>long-distance migrant</v>
      </c>
      <c r="N42" s="6"/>
      <c r="O42" s="6"/>
      <c r="P42" s="6" t="s">
        <v>1053</v>
      </c>
      <c r="Q42" s="6" t="str">
        <f t="shared" si="4"/>
        <v>Nigthjars</v>
      </c>
      <c r="R42" s="6">
        <v>6.9745958430000004</v>
      </c>
      <c r="S42" s="6">
        <v>5.6812933030000003</v>
      </c>
      <c r="T42" s="6">
        <v>11.22401848</v>
      </c>
      <c r="U42" s="6">
        <f t="shared" si="1"/>
        <v>23.879907625999998</v>
      </c>
      <c r="V42" s="7">
        <f t="shared" si="3"/>
        <v>519.12842665217386</v>
      </c>
      <c r="W42" s="6" t="s">
        <v>24</v>
      </c>
      <c r="X42" s="6" t="s">
        <v>30</v>
      </c>
      <c r="Y42" s="6" t="s">
        <v>24</v>
      </c>
      <c r="Z42" s="6" t="s">
        <v>164</v>
      </c>
      <c r="AA42" s="6" t="s">
        <v>1044</v>
      </c>
      <c r="AB42" s="6"/>
      <c r="AC42" s="6"/>
      <c r="AD42" s="6"/>
      <c r="AE42" s="6" t="str">
        <f t="shared" si="2"/>
        <v/>
      </c>
      <c r="AF42" s="6"/>
    </row>
    <row r="43" spans="1:72">
      <c r="A43" s="6">
        <v>83</v>
      </c>
      <c r="B43" s="6">
        <v>83</v>
      </c>
      <c r="C43" s="6">
        <v>5560</v>
      </c>
      <c r="D43" s="6" t="s">
        <v>388</v>
      </c>
      <c r="E43" s="11" t="s">
        <v>389</v>
      </c>
      <c r="F43" s="14" t="s">
        <v>390</v>
      </c>
      <c r="G43" s="14" t="s">
        <v>391</v>
      </c>
      <c r="H43" s="14" t="s">
        <v>389</v>
      </c>
      <c r="I43" s="6" t="s">
        <v>351</v>
      </c>
      <c r="J43" s="6" t="s">
        <v>316</v>
      </c>
      <c r="K43" s="6">
        <v>3</v>
      </c>
      <c r="L43" s="6">
        <v>3</v>
      </c>
      <c r="M43" s="6" t="str" cm="1">
        <f t="array" ref="M43">_xlfn.SWITCH(L43,
1,"resident",
1.5,"resident and short-distance migrant",
2,"short-distance migrant",
2.5,"short- and long-distance migrant",
3,"long-distance migrant",
"")</f>
        <v>long-distance migrant</v>
      </c>
      <c r="N43" s="6" t="s">
        <v>352</v>
      </c>
      <c r="O43" s="6" t="s">
        <v>352</v>
      </c>
      <c r="P43" s="6"/>
      <c r="Q43" s="6" t="str">
        <f t="shared" si="4"/>
        <v>Scolopacids</v>
      </c>
      <c r="R43" s="6">
        <v>0.83140877599999996</v>
      </c>
      <c r="S43" s="6">
        <v>0.18475750599999999</v>
      </c>
      <c r="T43" s="6">
        <v>9.2378752999999994E-2</v>
      </c>
      <c r="U43" s="6">
        <f t="shared" si="1"/>
        <v>1.1085450349999999</v>
      </c>
      <c r="V43" s="7">
        <f t="shared" si="3"/>
        <v>24.09880510869565</v>
      </c>
      <c r="W43" s="6" t="s">
        <v>30</v>
      </c>
      <c r="X43" s="6" t="s">
        <v>30</v>
      </c>
      <c r="Y43" s="6" t="s">
        <v>30</v>
      </c>
      <c r="Z43" s="6" t="s">
        <v>84</v>
      </c>
      <c r="AA43" s="6"/>
      <c r="AB43" s="6"/>
      <c r="AC43" s="6"/>
      <c r="AD43" s="6"/>
      <c r="AE43" s="6" t="str">
        <f t="shared" si="2"/>
        <v/>
      </c>
      <c r="AF43" s="6"/>
    </row>
    <row r="44" spans="1:72" s="2" customFormat="1">
      <c r="A44" s="5">
        <v>102</v>
      </c>
      <c r="B44" s="5">
        <v>102</v>
      </c>
      <c r="C44" s="5">
        <v>6360</v>
      </c>
      <c r="D44" s="5" t="s">
        <v>468</v>
      </c>
      <c r="E44" s="16" t="s">
        <v>469</v>
      </c>
      <c r="F44" s="17" t="s">
        <v>470</v>
      </c>
      <c r="G44" s="17" t="s">
        <v>470</v>
      </c>
      <c r="H44" s="17" t="s">
        <v>469</v>
      </c>
      <c r="I44" s="5" t="s">
        <v>467</v>
      </c>
      <c r="J44" s="5" t="s">
        <v>316</v>
      </c>
      <c r="K44" s="5">
        <v>3</v>
      </c>
      <c r="L44" s="5">
        <v>2</v>
      </c>
      <c r="M44" s="5" t="str" cm="1">
        <f t="array" ref="M44">_xlfn.SWITCH(L44,
1,"resident",
1.5,"resident and short-distance migrant",
2,"short-distance migrant",
2.5,"short- and long-distance migrant",
3,"long-distance migrant",
"")</f>
        <v>short-distance migrant</v>
      </c>
      <c r="N44" s="5"/>
      <c r="O44" s="5"/>
      <c r="P44" s="5" t="s">
        <v>23</v>
      </c>
      <c r="Q44" s="5" t="str">
        <f t="shared" si="4"/>
        <v>Aquatic pursuers</v>
      </c>
      <c r="R44" s="5">
        <v>4.6189375999999997E-2</v>
      </c>
      <c r="S44" s="5">
        <v>9.2378752999999994E-2</v>
      </c>
      <c r="T44" s="5">
        <v>0.13856812900000001</v>
      </c>
      <c r="U44" s="5">
        <f t="shared" si="1"/>
        <v>0.27713625799999997</v>
      </c>
      <c r="V44" s="18">
        <f t="shared" si="3"/>
        <v>6.0247012608695645</v>
      </c>
      <c r="W44" s="5" t="s">
        <v>24</v>
      </c>
      <c r="X44" s="5" t="s">
        <v>24</v>
      </c>
      <c r="Y44" s="5" t="s">
        <v>24</v>
      </c>
      <c r="Z44" s="5" t="s">
        <v>25</v>
      </c>
      <c r="AA44" s="5" t="s">
        <v>1041</v>
      </c>
      <c r="AB44" s="5"/>
      <c r="AC44" s="5"/>
      <c r="AD44" s="5">
        <v>1</v>
      </c>
      <c r="AE44" s="5" t="str">
        <f t="shared" si="2"/>
        <v/>
      </c>
      <c r="AF44" s="5"/>
      <c r="AG44" s="2">
        <v>1</v>
      </c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</row>
    <row r="45" spans="1:72">
      <c r="A45" s="6">
        <v>70</v>
      </c>
      <c r="B45" s="6">
        <v>70</v>
      </c>
      <c r="C45" s="6">
        <v>4770</v>
      </c>
      <c r="D45" s="6" t="s">
        <v>336</v>
      </c>
      <c r="E45" s="11" t="s">
        <v>337</v>
      </c>
      <c r="F45" s="14" t="s">
        <v>338</v>
      </c>
      <c r="G45" s="14" t="s">
        <v>339</v>
      </c>
      <c r="H45" s="14" t="s">
        <v>337</v>
      </c>
      <c r="I45" s="6" t="s">
        <v>331</v>
      </c>
      <c r="J45" s="6" t="s">
        <v>316</v>
      </c>
      <c r="K45" s="6">
        <v>2</v>
      </c>
      <c r="L45" s="6">
        <v>2.5</v>
      </c>
      <c r="M45" s="6" t="str" cm="1">
        <f t="array" ref="M45">_xlfn.SWITCH(L45,
1,"resident",
1.5,"resident and short-distance migrant",
2,"short-distance migrant",
2.5,"short- and long-distance migrant",
3,"long-distance migrant",
"")</f>
        <v>short- and long-distance migrant</v>
      </c>
      <c r="N45" s="6"/>
      <c r="O45" s="6" t="s">
        <v>317</v>
      </c>
      <c r="P45" s="6"/>
      <c r="Q45" s="6" t="str">
        <f t="shared" si="4"/>
        <v>Plovers</v>
      </c>
      <c r="R45" s="6">
        <v>1.8475750580000001</v>
      </c>
      <c r="S45" s="6">
        <v>0.50808314099999996</v>
      </c>
      <c r="T45" s="6">
        <v>0.36951501199999998</v>
      </c>
      <c r="U45" s="6">
        <f t="shared" si="1"/>
        <v>2.725173211</v>
      </c>
      <c r="V45" s="7">
        <f t="shared" si="3"/>
        <v>59.24289589130435</v>
      </c>
      <c r="W45" s="6" t="s">
        <v>30</v>
      </c>
      <c r="X45" s="6" t="s">
        <v>30</v>
      </c>
      <c r="Y45" s="6" t="s">
        <v>30</v>
      </c>
      <c r="Z45" s="6" t="s">
        <v>84</v>
      </c>
      <c r="AA45" s="6"/>
      <c r="AB45" s="6"/>
      <c r="AC45" s="6"/>
      <c r="AD45" s="6"/>
      <c r="AE45" s="6" t="str">
        <f t="shared" si="2"/>
        <v/>
      </c>
      <c r="AF45" s="6"/>
    </row>
    <row r="46" spans="1:72">
      <c r="A46" s="6">
        <v>84</v>
      </c>
      <c r="B46" s="6">
        <v>84</v>
      </c>
      <c r="C46" s="6">
        <v>5610</v>
      </c>
      <c r="D46" s="6" t="s">
        <v>392</v>
      </c>
      <c r="E46" s="11" t="s">
        <v>393</v>
      </c>
      <c r="F46" s="14" t="s">
        <v>394</v>
      </c>
      <c r="G46" s="14" t="s">
        <v>395</v>
      </c>
      <c r="H46" s="14" t="s">
        <v>393</v>
      </c>
      <c r="I46" s="6" t="s">
        <v>351</v>
      </c>
      <c r="J46" s="6" t="s">
        <v>316</v>
      </c>
      <c r="K46" s="6">
        <v>3</v>
      </c>
      <c r="L46" s="6">
        <v>2</v>
      </c>
      <c r="M46" s="6" t="str" cm="1">
        <f t="array" ref="M46">_xlfn.SWITCH(L46,
1,"resident",
1.5,"resident and short-distance migrant",
2,"short-distance migrant",
2.5,"short- and long-distance migrant",
3,"long-distance migrant",
"")</f>
        <v>short-distance migrant</v>
      </c>
      <c r="N46" s="6" t="s">
        <v>352</v>
      </c>
      <c r="O46" s="6"/>
      <c r="P46" s="6"/>
      <c r="Q46" s="6" t="str">
        <f t="shared" ref="Q46:Q66" si="5">IF(NOT(ISBLANK(P46)), P46, IF(NOT(ISBLANK(O46)), O46, N46))</f>
        <v>Scolopacids</v>
      </c>
      <c r="R46" s="6">
        <v>0.46189376399999998</v>
      </c>
      <c r="S46" s="6">
        <v>0.46189376399999998</v>
      </c>
      <c r="T46" s="6">
        <v>0.13856812900000001</v>
      </c>
      <c r="U46" s="6">
        <f t="shared" si="1"/>
        <v>1.0623556569999999</v>
      </c>
      <c r="V46" s="7">
        <f t="shared" si="3"/>
        <v>23.094688195652171</v>
      </c>
      <c r="W46" s="6" t="s">
        <v>30</v>
      </c>
      <c r="X46" s="6" t="s">
        <v>50</v>
      </c>
      <c r="Y46" s="6" t="s">
        <v>30</v>
      </c>
      <c r="Z46" s="6" t="s">
        <v>134</v>
      </c>
      <c r="AA46" s="6"/>
      <c r="AB46" s="6"/>
      <c r="AC46" s="6"/>
      <c r="AD46" s="6"/>
      <c r="AE46" s="6" t="str">
        <f t="shared" si="2"/>
        <v/>
      </c>
      <c r="AF46" s="6"/>
    </row>
    <row r="47" spans="1:72">
      <c r="A47" s="6">
        <v>73</v>
      </c>
      <c r="B47" s="6">
        <v>73</v>
      </c>
      <c r="C47" s="6">
        <v>5120</v>
      </c>
      <c r="D47" s="6" t="s">
        <v>348</v>
      </c>
      <c r="E47" s="11" t="s">
        <v>349</v>
      </c>
      <c r="F47" s="14" t="s">
        <v>350</v>
      </c>
      <c r="G47" s="14" t="s">
        <v>350</v>
      </c>
      <c r="H47" s="14" t="s">
        <v>349</v>
      </c>
      <c r="I47" s="6" t="s">
        <v>351</v>
      </c>
      <c r="J47" s="6" t="s">
        <v>316</v>
      </c>
      <c r="K47" s="6">
        <v>3</v>
      </c>
      <c r="L47" s="6">
        <v>3</v>
      </c>
      <c r="M47" s="6" t="str" cm="1">
        <f t="array" ref="M47">_xlfn.SWITCH(L47,
1,"resident",
1.5,"resident and short-distance migrant",
2,"short-distance migrant",
2.5,"short- and long-distance migrant",
3,"long-distance migrant",
"")</f>
        <v>long-distance migrant</v>
      </c>
      <c r="N47" s="6" t="s">
        <v>352</v>
      </c>
      <c r="O47" s="6" t="s">
        <v>352</v>
      </c>
      <c r="P47" s="6"/>
      <c r="Q47" s="6" t="str">
        <f t="shared" si="5"/>
        <v>Scolopacids</v>
      </c>
      <c r="R47" s="6">
        <v>6.9284064670000003</v>
      </c>
      <c r="S47" s="6">
        <v>3.5565819859999999</v>
      </c>
      <c r="T47" s="6">
        <v>0.969976905</v>
      </c>
      <c r="U47" s="6">
        <f t="shared" si="1"/>
        <v>11.454965357999999</v>
      </c>
      <c r="V47" s="7">
        <f t="shared" si="3"/>
        <v>249.02098604347825</v>
      </c>
      <c r="W47" s="6" t="s">
        <v>30</v>
      </c>
      <c r="X47" s="6" t="s">
        <v>30</v>
      </c>
      <c r="Y47" s="6" t="s">
        <v>30</v>
      </c>
      <c r="Z47" s="6" t="s">
        <v>84</v>
      </c>
      <c r="AA47" s="6"/>
      <c r="AB47" s="6"/>
      <c r="AC47" s="6"/>
      <c r="AD47" s="6"/>
      <c r="AE47" s="6" t="str">
        <f t="shared" si="2"/>
        <v/>
      </c>
      <c r="AF47" s="6"/>
    </row>
    <row r="48" spans="1:72">
      <c r="A48" s="6">
        <v>74</v>
      </c>
      <c r="B48" s="6">
        <v>74</v>
      </c>
      <c r="C48" s="6">
        <v>5170</v>
      </c>
      <c r="D48" s="6" t="s">
        <v>353</v>
      </c>
      <c r="E48" s="11" t="s">
        <v>354</v>
      </c>
      <c r="F48" s="14" t="s">
        <v>355</v>
      </c>
      <c r="G48" s="14" t="s">
        <v>355</v>
      </c>
      <c r="H48" s="14" t="s">
        <v>354</v>
      </c>
      <c r="I48" s="6" t="s">
        <v>351</v>
      </c>
      <c r="J48" s="6" t="s">
        <v>316</v>
      </c>
      <c r="K48" s="6">
        <v>3</v>
      </c>
      <c r="L48" s="6">
        <v>3</v>
      </c>
      <c r="M48" s="6" t="str" cm="1">
        <f t="array" ref="M48">_xlfn.SWITCH(L48,
1,"resident",
1.5,"resident and short-distance migrant",
2,"short-distance migrant",
2.5,"short- and long-distance migrant",
3,"long-distance migrant",
"")</f>
        <v>long-distance migrant</v>
      </c>
      <c r="N48" s="6" t="s">
        <v>352</v>
      </c>
      <c r="O48" s="6" t="s">
        <v>352</v>
      </c>
      <c r="P48" s="6"/>
      <c r="Q48" s="6" t="str">
        <f t="shared" si="5"/>
        <v>Scolopacids</v>
      </c>
      <c r="R48" s="6">
        <v>5.958429561</v>
      </c>
      <c r="S48" s="6">
        <v>2.0785219399999999</v>
      </c>
      <c r="T48" s="6">
        <v>0.60046189400000005</v>
      </c>
      <c r="U48" s="6">
        <f t="shared" si="1"/>
        <v>8.6374133950000012</v>
      </c>
      <c r="V48" s="7">
        <f t="shared" si="3"/>
        <v>187.7698564130435</v>
      </c>
      <c r="W48" s="6" t="s">
        <v>30</v>
      </c>
      <c r="X48" s="6" t="s">
        <v>30</v>
      </c>
      <c r="Y48" s="6" t="s">
        <v>30</v>
      </c>
      <c r="Z48" s="6" t="s">
        <v>84</v>
      </c>
      <c r="AA48" s="6"/>
      <c r="AB48" s="6"/>
      <c r="AC48" s="6"/>
      <c r="AD48" s="6"/>
      <c r="AE48" s="6" t="str">
        <f t="shared" si="2"/>
        <v/>
      </c>
      <c r="AF48" s="6"/>
    </row>
    <row r="49" spans="1:72">
      <c r="A49" s="6">
        <v>103</v>
      </c>
      <c r="B49" s="6">
        <v>103</v>
      </c>
      <c r="C49" s="6">
        <v>6380</v>
      </c>
      <c r="D49" s="6" t="s">
        <v>471</v>
      </c>
      <c r="E49" s="11" t="s">
        <v>472</v>
      </c>
      <c r="F49" s="14" t="s">
        <v>473</v>
      </c>
      <c r="G49" s="14" t="s">
        <v>474</v>
      </c>
      <c r="H49" s="14" t="s">
        <v>472</v>
      </c>
      <c r="I49" s="6" t="s">
        <v>467</v>
      </c>
      <c r="J49" s="6" t="s">
        <v>316</v>
      </c>
      <c r="K49" s="6">
        <v>3</v>
      </c>
      <c r="L49" s="6">
        <v>1.5</v>
      </c>
      <c r="M49" s="6" t="str" cm="1">
        <f t="array" ref="M49">_xlfn.SWITCH(L49,
1,"resident",
1.5,"resident and short-distance migrant",
2,"short-distance migrant",
2.5,"short- and long-distance migrant",
3,"long-distance migrant",
"")</f>
        <v>resident and short-distance migrant</v>
      </c>
      <c r="N49" s="6"/>
      <c r="O49" s="6" t="s">
        <v>23</v>
      </c>
      <c r="P49" s="6"/>
      <c r="Q49" s="6" t="str">
        <f t="shared" si="5"/>
        <v>Aquatic pursuers</v>
      </c>
      <c r="R49" s="6">
        <v>0.87759815200000002</v>
      </c>
      <c r="S49" s="6">
        <v>0.92378752900000005</v>
      </c>
      <c r="T49" s="6">
        <v>1.29330254</v>
      </c>
      <c r="U49" s="6">
        <f t="shared" si="1"/>
        <v>3.0946882210000002</v>
      </c>
      <c r="V49" s="7">
        <f t="shared" si="3"/>
        <v>67.275830891304352</v>
      </c>
      <c r="W49" s="6" t="s">
        <v>24</v>
      </c>
      <c r="X49" s="6" t="s">
        <v>24</v>
      </c>
      <c r="Y49" s="6" t="s">
        <v>24</v>
      </c>
      <c r="Z49" s="6" t="s">
        <v>25</v>
      </c>
      <c r="AA49" s="6"/>
      <c r="AB49" s="6"/>
      <c r="AC49" s="6"/>
      <c r="AD49" s="6"/>
      <c r="AE49" s="6" t="str">
        <f t="shared" si="2"/>
        <v/>
      </c>
      <c r="AF49" s="6"/>
    </row>
    <row r="50" spans="1:72">
      <c r="A50" s="6">
        <v>68</v>
      </c>
      <c r="B50" s="6">
        <v>68</v>
      </c>
      <c r="C50" s="6">
        <v>4690</v>
      </c>
      <c r="D50" s="6" t="s">
        <v>327</v>
      </c>
      <c r="E50" s="11" t="s">
        <v>328</v>
      </c>
      <c r="F50" s="14" t="s">
        <v>329</v>
      </c>
      <c r="G50" s="14" t="s">
        <v>330</v>
      </c>
      <c r="H50" s="14" t="s">
        <v>328</v>
      </c>
      <c r="I50" s="6" t="s">
        <v>331</v>
      </c>
      <c r="J50" s="6" t="s">
        <v>316</v>
      </c>
      <c r="K50" s="6">
        <v>3</v>
      </c>
      <c r="L50" s="6">
        <v>2.5</v>
      </c>
      <c r="M50" s="6" t="str" cm="1">
        <f t="array" ref="M50">_xlfn.SWITCH(L50,
1,"resident",
1.5,"resident and short-distance migrant",
2,"short-distance migrant",
2.5,"short- and long-distance migrant",
3,"long-distance migrant",
"")</f>
        <v>short- and long-distance migrant</v>
      </c>
      <c r="N50" s="6" t="s">
        <v>317</v>
      </c>
      <c r="O50" s="6" t="s">
        <v>317</v>
      </c>
      <c r="P50" s="6"/>
      <c r="Q50" s="6" t="str">
        <f t="shared" si="5"/>
        <v>Plovers</v>
      </c>
      <c r="R50" s="6">
        <v>4.665127021</v>
      </c>
      <c r="S50" s="6">
        <v>10.715935330000001</v>
      </c>
      <c r="T50" s="6">
        <v>18.383371820000001</v>
      </c>
      <c r="U50" s="6">
        <f t="shared" si="1"/>
        <v>33.764434171000005</v>
      </c>
      <c r="V50" s="7">
        <f t="shared" si="3"/>
        <v>734.0094385000001</v>
      </c>
      <c r="W50" s="6" t="s">
        <v>24</v>
      </c>
      <c r="X50" s="6" t="s">
        <v>24</v>
      </c>
      <c r="Y50" s="6" t="s">
        <v>24</v>
      </c>
      <c r="Z50" s="6" t="s">
        <v>25</v>
      </c>
      <c r="AA50" s="6"/>
      <c r="AB50" s="6"/>
      <c r="AC50" s="6"/>
      <c r="AD50" s="6"/>
      <c r="AE50" s="6" t="str">
        <f t="shared" si="2"/>
        <v/>
      </c>
      <c r="AF50" s="6"/>
    </row>
    <row r="51" spans="1:72">
      <c r="A51" s="6">
        <v>69</v>
      </c>
      <c r="B51" s="6">
        <v>69</v>
      </c>
      <c r="C51" s="6">
        <v>4700</v>
      </c>
      <c r="D51" s="6" t="s">
        <v>332</v>
      </c>
      <c r="E51" s="11" t="s">
        <v>333</v>
      </c>
      <c r="F51" s="14" t="s">
        <v>334</v>
      </c>
      <c r="G51" s="14" t="s">
        <v>335</v>
      </c>
      <c r="H51" s="14" t="s">
        <v>333</v>
      </c>
      <c r="I51" s="6" t="s">
        <v>331</v>
      </c>
      <c r="J51" s="6" t="s">
        <v>316</v>
      </c>
      <c r="K51" s="6">
        <v>2</v>
      </c>
      <c r="L51" s="6">
        <v>2</v>
      </c>
      <c r="M51" s="6" t="str" cm="1">
        <f t="array" ref="M51">_xlfn.SWITCH(L51,
1,"resident",
1.5,"resident and short-distance migrant",
2,"short-distance migrant",
2.5,"short- and long-distance migrant",
3,"long-distance migrant",
"")</f>
        <v>short-distance migrant</v>
      </c>
      <c r="N51" s="6" t="s">
        <v>317</v>
      </c>
      <c r="O51" s="6" t="s">
        <v>317</v>
      </c>
      <c r="P51" s="6"/>
      <c r="Q51" s="6" t="str">
        <f t="shared" si="5"/>
        <v>Plovers</v>
      </c>
      <c r="R51" s="6">
        <v>26.050808310000001</v>
      </c>
      <c r="S51" s="6">
        <v>26.420323329999999</v>
      </c>
      <c r="T51" s="6">
        <v>21.66281755</v>
      </c>
      <c r="U51" s="6">
        <f t="shared" si="1"/>
        <v>74.133949189999996</v>
      </c>
      <c r="V51" s="7">
        <f t="shared" si="3"/>
        <v>1611.6075910869565</v>
      </c>
      <c r="W51" s="6" t="s">
        <v>30</v>
      </c>
      <c r="X51" s="6" t="s">
        <v>24</v>
      </c>
      <c r="Y51" s="6" t="s">
        <v>30</v>
      </c>
      <c r="Z51" s="6" t="s">
        <v>31</v>
      </c>
      <c r="AA51" s="6"/>
      <c r="AB51" s="6"/>
      <c r="AC51" s="6"/>
      <c r="AD51" s="6"/>
      <c r="AE51" s="6" t="str">
        <f t="shared" si="2"/>
        <v/>
      </c>
      <c r="AF51" s="6"/>
    </row>
    <row r="52" spans="1:72" s="2" customFormat="1">
      <c r="A52" s="5">
        <v>100</v>
      </c>
      <c r="B52" s="5">
        <v>100</v>
      </c>
      <c r="C52" s="5">
        <v>6280</v>
      </c>
      <c r="D52" s="5" t="s">
        <v>459</v>
      </c>
      <c r="E52" s="16" t="s">
        <v>460</v>
      </c>
      <c r="F52" s="17" t="s">
        <v>461</v>
      </c>
      <c r="G52" s="17" t="s">
        <v>462</v>
      </c>
      <c r="H52" s="17" t="s">
        <v>460</v>
      </c>
      <c r="I52" s="5" t="s">
        <v>400</v>
      </c>
      <c r="J52" s="5" t="s">
        <v>316</v>
      </c>
      <c r="K52" s="5">
        <v>3</v>
      </c>
      <c r="L52" s="5">
        <v>3</v>
      </c>
      <c r="M52" s="5" t="str" cm="1">
        <f t="array" ref="M52">_xlfn.SWITCH(L52,
1,"resident",
1.5,"resident and short-distance migrant",
2,"short-distance migrant",
2.5,"short- and long-distance migrant",
3,"long-distance migrant",
"")</f>
        <v>long-distance migrant</v>
      </c>
      <c r="N52" s="5"/>
      <c r="O52" s="5"/>
      <c r="P52" s="5" t="s">
        <v>434</v>
      </c>
      <c r="Q52" s="5" t="str">
        <f t="shared" si="5"/>
        <v>Terns</v>
      </c>
      <c r="R52" s="5">
        <v>0</v>
      </c>
      <c r="S52" s="5">
        <v>0</v>
      </c>
      <c r="T52" s="5">
        <v>0.13856812900000001</v>
      </c>
      <c r="U52" s="5">
        <f t="shared" si="1"/>
        <v>0.13856812900000001</v>
      </c>
      <c r="V52" s="18">
        <f t="shared" si="3"/>
        <v>3.0123506304347831</v>
      </c>
      <c r="W52" s="5" t="s">
        <v>24</v>
      </c>
      <c r="X52" s="5" t="s">
        <v>50</v>
      </c>
      <c r="Y52" s="5" t="s">
        <v>24</v>
      </c>
      <c r="Z52" s="5" t="s">
        <v>69</v>
      </c>
      <c r="AA52" s="5" t="s">
        <v>1041</v>
      </c>
      <c r="AB52" s="5"/>
      <c r="AC52" s="5"/>
      <c r="AD52" s="5">
        <v>1</v>
      </c>
      <c r="AE52" s="5">
        <f t="shared" si="2"/>
        <v>1</v>
      </c>
      <c r="AF52" s="5"/>
      <c r="AG52" s="2">
        <v>1</v>
      </c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</row>
    <row r="53" spans="1:72">
      <c r="A53" s="6">
        <v>99</v>
      </c>
      <c r="B53" s="6">
        <v>99</v>
      </c>
      <c r="C53" s="6">
        <v>6270</v>
      </c>
      <c r="D53" s="6" t="s">
        <v>455</v>
      </c>
      <c r="E53" s="11" t="s">
        <v>456</v>
      </c>
      <c r="F53" s="14" t="s">
        <v>457</v>
      </c>
      <c r="G53" s="14" t="s">
        <v>458</v>
      </c>
      <c r="H53" s="14" t="s">
        <v>456</v>
      </c>
      <c r="I53" s="6" t="s">
        <v>400</v>
      </c>
      <c r="J53" s="6" t="s">
        <v>316</v>
      </c>
      <c r="K53" s="6">
        <v>3</v>
      </c>
      <c r="L53" s="6">
        <v>3</v>
      </c>
      <c r="M53" s="6" t="str" cm="1">
        <f t="array" ref="M53">_xlfn.SWITCH(L53,
1,"resident",
1.5,"resident and short-distance migrant",
2,"short-distance migrant",
2.5,"short- and long-distance migrant",
3,"long-distance migrant",
"")</f>
        <v>long-distance migrant</v>
      </c>
      <c r="N53" s="6" t="s">
        <v>434</v>
      </c>
      <c r="O53" s="6"/>
      <c r="P53" s="6"/>
      <c r="Q53" s="6" t="str">
        <f t="shared" si="5"/>
        <v>Terns</v>
      </c>
      <c r="R53" s="6">
        <v>1.709006928</v>
      </c>
      <c r="S53" s="6">
        <v>0.60046189400000005</v>
      </c>
      <c r="T53" s="6">
        <v>0.23094688199999999</v>
      </c>
      <c r="U53" s="6">
        <f t="shared" si="1"/>
        <v>2.5404157039999999</v>
      </c>
      <c r="V53" s="7">
        <f t="shared" si="3"/>
        <v>55.226428347826086</v>
      </c>
      <c r="W53" s="6" t="s">
        <v>30</v>
      </c>
      <c r="X53" s="6" t="s">
        <v>30</v>
      </c>
      <c r="Y53" s="6" t="s">
        <v>30</v>
      </c>
      <c r="Z53" s="6" t="s">
        <v>84</v>
      </c>
      <c r="AA53" s="6"/>
      <c r="AB53" s="6"/>
      <c r="AC53" s="6"/>
      <c r="AD53" s="6"/>
      <c r="AE53" s="6" t="str">
        <f t="shared" si="2"/>
        <v/>
      </c>
      <c r="AF53" s="6"/>
    </row>
    <row r="54" spans="1:72">
      <c r="A54" s="6">
        <v>87</v>
      </c>
      <c r="B54" s="6">
        <v>87</v>
      </c>
      <c r="C54" s="6">
        <v>5820</v>
      </c>
      <c r="D54" s="6" t="s">
        <v>406</v>
      </c>
      <c r="E54" s="11" t="s">
        <v>407</v>
      </c>
      <c r="F54" s="14" t="s">
        <v>408</v>
      </c>
      <c r="G54" s="14" t="s">
        <v>409</v>
      </c>
      <c r="H54" s="14" t="s">
        <v>407</v>
      </c>
      <c r="I54" s="6" t="s">
        <v>400</v>
      </c>
      <c r="J54" s="6" t="s">
        <v>316</v>
      </c>
      <c r="K54" s="6">
        <v>2</v>
      </c>
      <c r="L54" s="6">
        <v>2</v>
      </c>
      <c r="M54" s="6" t="str" cm="1">
        <f t="array" ref="M54">_xlfn.SWITCH(L54,
1,"resident",
1.5,"resident and short-distance migrant",
2,"short-distance migrant",
2.5,"short- and long-distance migrant",
3,"long-distance migrant",
"")</f>
        <v>short-distance migrant</v>
      </c>
      <c r="N54" s="6" t="s">
        <v>401</v>
      </c>
      <c r="O54" s="6" t="s">
        <v>401</v>
      </c>
      <c r="P54" s="6"/>
      <c r="Q54" s="6" t="str">
        <f t="shared" si="5"/>
        <v>Gulls</v>
      </c>
      <c r="R54" s="6">
        <v>29.468822169999999</v>
      </c>
      <c r="S54" s="6">
        <v>19.35334873</v>
      </c>
      <c r="T54" s="6">
        <v>11.963048499999999</v>
      </c>
      <c r="U54" s="6">
        <f t="shared" si="1"/>
        <v>60.785219400000003</v>
      </c>
      <c r="V54" s="7">
        <f t="shared" si="3"/>
        <v>1321.4178130434784</v>
      </c>
      <c r="W54" s="6" t="s">
        <v>30</v>
      </c>
      <c r="X54" s="6" t="s">
        <v>30</v>
      </c>
      <c r="Y54" s="6" t="s">
        <v>30</v>
      </c>
      <c r="Z54" s="6" t="s">
        <v>84</v>
      </c>
      <c r="AA54" s="6"/>
      <c r="AB54" s="6"/>
      <c r="AC54" s="6"/>
      <c r="AD54" s="6"/>
      <c r="AE54" s="6" t="str">
        <f t="shared" si="2"/>
        <v/>
      </c>
      <c r="AF54" s="6"/>
    </row>
    <row r="55" spans="1:72">
      <c r="A55" s="6">
        <v>76</v>
      </c>
      <c r="B55" s="6">
        <v>76</v>
      </c>
      <c r="C55" s="6">
        <v>5190</v>
      </c>
      <c r="D55" s="6" t="s">
        <v>360</v>
      </c>
      <c r="E55" s="11" t="s">
        <v>361</v>
      </c>
      <c r="F55" s="14" t="s">
        <v>362</v>
      </c>
      <c r="G55" s="14" t="s">
        <v>363</v>
      </c>
      <c r="H55" s="14" t="s">
        <v>361</v>
      </c>
      <c r="I55" s="6" t="s">
        <v>351</v>
      </c>
      <c r="J55" s="6" t="s">
        <v>316</v>
      </c>
      <c r="K55" s="6">
        <v>3</v>
      </c>
      <c r="L55" s="6">
        <v>2</v>
      </c>
      <c r="M55" s="6" t="str" cm="1">
        <f t="array" ref="M55">_xlfn.SWITCH(L55,
1,"resident",
1.5,"resident and short-distance migrant",
2,"short-distance migrant",
2.5,"short- and long-distance migrant",
3,"long-distance migrant",
"")</f>
        <v>short-distance migrant</v>
      </c>
      <c r="N55" s="6" t="s">
        <v>352</v>
      </c>
      <c r="O55" s="6" t="s">
        <v>352</v>
      </c>
      <c r="P55" s="6"/>
      <c r="Q55" s="6" t="str">
        <f t="shared" si="5"/>
        <v>Scolopacids</v>
      </c>
      <c r="R55" s="6">
        <v>44.203233259999998</v>
      </c>
      <c r="S55" s="6">
        <v>31.870669750000001</v>
      </c>
      <c r="T55" s="6">
        <v>24.203233260000001</v>
      </c>
      <c r="U55" s="6">
        <f t="shared" si="1"/>
        <v>100.27713627</v>
      </c>
      <c r="V55" s="7">
        <f t="shared" si="3"/>
        <v>2179.9377450000002</v>
      </c>
      <c r="W55" s="6" t="s">
        <v>30</v>
      </c>
      <c r="X55" s="6" t="s">
        <v>30</v>
      </c>
      <c r="Y55" s="6" t="s">
        <v>30</v>
      </c>
      <c r="Z55" s="6" t="s">
        <v>84</v>
      </c>
      <c r="AA55" s="6"/>
      <c r="AB55" s="6"/>
      <c r="AC55" s="6"/>
      <c r="AD55" s="6"/>
      <c r="AE55" s="6" t="str">
        <f t="shared" si="2"/>
        <v/>
      </c>
      <c r="AF55" s="6"/>
    </row>
    <row r="56" spans="1:72">
      <c r="A56" s="6">
        <v>93</v>
      </c>
      <c r="B56" s="6">
        <v>93</v>
      </c>
      <c r="C56" s="6">
        <v>6050</v>
      </c>
      <c r="D56" s="6" t="s">
        <v>430</v>
      </c>
      <c r="E56" s="11" t="s">
        <v>431</v>
      </c>
      <c r="F56" s="14" t="s">
        <v>432</v>
      </c>
      <c r="G56" s="14" t="s">
        <v>433</v>
      </c>
      <c r="H56" s="14" t="s">
        <v>431</v>
      </c>
      <c r="I56" s="6" t="s">
        <v>400</v>
      </c>
      <c r="J56" s="6" t="s">
        <v>316</v>
      </c>
      <c r="K56" s="6">
        <v>3</v>
      </c>
      <c r="L56" s="6">
        <v>3</v>
      </c>
      <c r="M56" s="6" t="str" cm="1">
        <f t="array" ref="M56">_xlfn.SWITCH(L56,
1,"resident",
1.5,"resident and short-distance migrant",
2,"short-distance migrant",
2.5,"short- and long-distance migrant",
3,"long-distance migrant",
"")</f>
        <v>long-distance migrant</v>
      </c>
      <c r="N56" s="6" t="s">
        <v>434</v>
      </c>
      <c r="O56" s="6"/>
      <c r="P56" s="6"/>
      <c r="Q56" s="6" t="str">
        <f t="shared" si="5"/>
        <v>Terns</v>
      </c>
      <c r="R56" s="6">
        <v>0.50808314099999996</v>
      </c>
      <c r="S56" s="6">
        <v>0.23094688199999999</v>
      </c>
      <c r="T56" s="6">
        <v>4.6189375999999997E-2</v>
      </c>
      <c r="U56" s="6">
        <f t="shared" si="1"/>
        <v>0.78521939899999993</v>
      </c>
      <c r="V56" s="7">
        <f t="shared" si="3"/>
        <v>17.069986934782609</v>
      </c>
      <c r="W56" s="6" t="s">
        <v>30</v>
      </c>
      <c r="X56" s="6" t="s">
        <v>30</v>
      </c>
      <c r="Y56" s="6" t="s">
        <v>30</v>
      </c>
      <c r="Z56" s="6" t="s">
        <v>84</v>
      </c>
      <c r="AA56" s="6"/>
      <c r="AB56" s="6"/>
      <c r="AC56" s="6"/>
      <c r="AD56" s="6"/>
      <c r="AE56" s="6" t="str">
        <f t="shared" si="2"/>
        <v/>
      </c>
      <c r="AF56" s="6"/>
    </row>
    <row r="57" spans="1:72">
      <c r="A57" s="6">
        <v>65</v>
      </c>
      <c r="B57" s="6">
        <v>65</v>
      </c>
      <c r="C57" s="6">
        <v>4500</v>
      </c>
      <c r="D57" s="6" t="s">
        <v>311</v>
      </c>
      <c r="E57" s="11" t="s">
        <v>312</v>
      </c>
      <c r="F57" s="14" t="s">
        <v>313</v>
      </c>
      <c r="G57" s="14" t="s">
        <v>314</v>
      </c>
      <c r="H57" s="14" t="s">
        <v>312</v>
      </c>
      <c r="I57" s="6" t="s">
        <v>315</v>
      </c>
      <c r="J57" s="6" t="s">
        <v>316</v>
      </c>
      <c r="K57" s="6">
        <v>1</v>
      </c>
      <c r="L57" s="6">
        <v>2</v>
      </c>
      <c r="M57" s="6" t="str" cm="1">
        <f t="array" ref="M57">_xlfn.SWITCH(L57,
1,"resident",
1.5,"resident and short-distance migrant",
2,"short-distance migrant",
2.5,"short- and long-distance migrant",
3,"long-distance migrant",
"")</f>
        <v>short-distance migrant</v>
      </c>
      <c r="N57" s="6" t="s">
        <v>317</v>
      </c>
      <c r="O57" s="6" t="s">
        <v>317</v>
      </c>
      <c r="P57" s="6"/>
      <c r="Q57" s="6" t="str">
        <f t="shared" si="5"/>
        <v>Plovers</v>
      </c>
      <c r="R57" s="6">
        <v>31.732101620000002</v>
      </c>
      <c r="S57" s="6">
        <v>39.815242490000003</v>
      </c>
      <c r="T57" s="6">
        <v>41.33949192</v>
      </c>
      <c r="U57" s="6">
        <f t="shared" si="1"/>
        <v>112.88683603000001</v>
      </c>
      <c r="V57" s="7">
        <f t="shared" si="3"/>
        <v>2454.0616528260871</v>
      </c>
      <c r="W57" s="6" t="s">
        <v>24</v>
      </c>
      <c r="X57" s="6" t="s">
        <v>24</v>
      </c>
      <c r="Y57" s="6" t="s">
        <v>24</v>
      </c>
      <c r="Z57" s="6" t="s">
        <v>25</v>
      </c>
      <c r="AA57" s="6"/>
      <c r="AB57" s="6"/>
      <c r="AC57" s="6"/>
      <c r="AD57" s="6"/>
      <c r="AE57" s="6" t="str">
        <f t="shared" si="2"/>
        <v/>
      </c>
      <c r="AF57" s="6"/>
    </row>
    <row r="58" spans="1:72">
      <c r="A58" s="6">
        <v>66</v>
      </c>
      <c r="B58" s="6">
        <v>66</v>
      </c>
      <c r="C58" s="6">
        <v>4550</v>
      </c>
      <c r="D58" s="6" t="s">
        <v>318</v>
      </c>
      <c r="E58" s="11" t="s">
        <v>319</v>
      </c>
      <c r="F58" s="14" t="s">
        <v>320</v>
      </c>
      <c r="G58" s="14" t="s">
        <v>321</v>
      </c>
      <c r="H58" s="14" t="s">
        <v>319</v>
      </c>
      <c r="I58" s="6" t="s">
        <v>322</v>
      </c>
      <c r="J58" s="6" t="s">
        <v>316</v>
      </c>
      <c r="K58" s="6">
        <v>2</v>
      </c>
      <c r="L58" s="6">
        <v>3</v>
      </c>
      <c r="M58" s="6" t="str" cm="1">
        <f t="array" ref="M58">_xlfn.SWITCH(L58,
1,"resident",
1.5,"resident and short-distance migrant",
2,"short-distance migrant",
2.5,"short- and long-distance migrant",
3,"long-distance migrant",
"")</f>
        <v>long-distance migrant</v>
      </c>
      <c r="N58" s="6" t="s">
        <v>317</v>
      </c>
      <c r="O58" s="6"/>
      <c r="P58" s="6"/>
      <c r="Q58" s="6" t="str">
        <f t="shared" si="5"/>
        <v>Plovers</v>
      </c>
      <c r="R58" s="6">
        <v>0</v>
      </c>
      <c r="S58" s="6">
        <v>4.6189375999999997E-2</v>
      </c>
      <c r="T58" s="6">
        <v>4.6189375999999997E-2</v>
      </c>
      <c r="U58" s="6">
        <f t="shared" si="1"/>
        <v>9.2378751999999995E-2</v>
      </c>
      <c r="V58" s="7">
        <f t="shared" si="3"/>
        <v>2.0082337391304348</v>
      </c>
      <c r="W58" s="6" t="s">
        <v>24</v>
      </c>
      <c r="X58" s="6" t="s">
        <v>24</v>
      </c>
      <c r="Y58" s="6" t="s">
        <v>50</v>
      </c>
      <c r="Z58" s="6" t="s">
        <v>228</v>
      </c>
      <c r="AA58" s="6"/>
      <c r="AB58" s="6"/>
      <c r="AC58" s="6"/>
      <c r="AD58" s="6"/>
      <c r="AE58" s="6">
        <f t="shared" si="2"/>
        <v>1</v>
      </c>
      <c r="AF58" s="6"/>
    </row>
    <row r="59" spans="1:72" s="2" customFormat="1">
      <c r="A59" s="5">
        <v>86</v>
      </c>
      <c r="B59" s="5">
        <v>86</v>
      </c>
      <c r="C59" s="5">
        <v>5780</v>
      </c>
      <c r="D59" s="5" t="s">
        <v>402</v>
      </c>
      <c r="E59" s="16" t="s">
        <v>403</v>
      </c>
      <c r="F59" s="17" t="s">
        <v>404</v>
      </c>
      <c r="G59" s="17" t="s">
        <v>405</v>
      </c>
      <c r="H59" s="17" t="s">
        <v>403</v>
      </c>
      <c r="I59" s="5" t="s">
        <v>400</v>
      </c>
      <c r="J59" s="5" t="s">
        <v>316</v>
      </c>
      <c r="K59" s="5">
        <v>2</v>
      </c>
      <c r="L59" s="5">
        <v>2</v>
      </c>
      <c r="M59" s="5" t="str" cm="1">
        <f t="array" ref="M59">_xlfn.SWITCH(L59,
1,"resident",
1.5,"resident and short-distance migrant",
2,"short-distance migrant",
2.5,"short- and long-distance migrant",
3,"long-distance migrant",
"")</f>
        <v>short-distance migrant</v>
      </c>
      <c r="N59" s="5"/>
      <c r="O59" s="5"/>
      <c r="P59" s="5" t="s">
        <v>401</v>
      </c>
      <c r="Q59" s="5" t="str">
        <f t="shared" si="5"/>
        <v>Gulls</v>
      </c>
      <c r="R59" s="5">
        <v>0.277136259</v>
      </c>
      <c r="S59" s="5">
        <v>0</v>
      </c>
      <c r="T59" s="5">
        <v>4.6189375999999997E-2</v>
      </c>
      <c r="U59" s="5">
        <f t="shared" si="1"/>
        <v>0.323325635</v>
      </c>
      <c r="V59" s="18">
        <f t="shared" si="3"/>
        <v>7.0288181521739128</v>
      </c>
      <c r="W59" s="5" t="s">
        <v>30</v>
      </c>
      <c r="X59" s="5" t="s">
        <v>30</v>
      </c>
      <c r="Y59" s="5" t="s">
        <v>24</v>
      </c>
      <c r="Z59" s="5" t="s">
        <v>164</v>
      </c>
      <c r="AA59" s="5" t="s">
        <v>1040</v>
      </c>
      <c r="AB59" s="5"/>
      <c r="AC59" s="5"/>
      <c r="AD59" s="5">
        <v>1</v>
      </c>
      <c r="AE59" s="5" t="str">
        <f t="shared" si="2"/>
        <v/>
      </c>
      <c r="AF59" s="5"/>
      <c r="AG59" s="2">
        <v>1</v>
      </c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</row>
    <row r="60" spans="1:72" s="2" customFormat="1">
      <c r="A60" s="5">
        <v>94</v>
      </c>
      <c r="B60" s="5">
        <v>94</v>
      </c>
      <c r="C60" s="5">
        <v>6060</v>
      </c>
      <c r="D60" s="5" t="s">
        <v>435</v>
      </c>
      <c r="E60" s="16" t="s">
        <v>436</v>
      </c>
      <c r="F60" s="17" t="s">
        <v>437</v>
      </c>
      <c r="G60" s="17" t="s">
        <v>438</v>
      </c>
      <c r="H60" s="17" t="s">
        <v>436</v>
      </c>
      <c r="I60" s="5" t="s">
        <v>400</v>
      </c>
      <c r="J60" s="5" t="s">
        <v>316</v>
      </c>
      <c r="K60" s="5">
        <v>3</v>
      </c>
      <c r="L60" s="5">
        <v>3</v>
      </c>
      <c r="M60" s="5" t="str" cm="1">
        <f t="array" ref="M60">_xlfn.SWITCH(L60,
1,"resident",
1.5,"resident and short-distance migrant",
2,"short-distance migrant",
2.5,"short- and long-distance migrant",
3,"long-distance migrant",
"")</f>
        <v>long-distance migrant</v>
      </c>
      <c r="N60" s="5"/>
      <c r="O60" s="5"/>
      <c r="P60" s="5" t="s">
        <v>434</v>
      </c>
      <c r="Q60" s="5" t="str">
        <f t="shared" si="5"/>
        <v>Terns</v>
      </c>
      <c r="R60" s="5">
        <v>0</v>
      </c>
      <c r="S60" s="5">
        <v>0</v>
      </c>
      <c r="T60" s="5">
        <v>0.46189376399999998</v>
      </c>
      <c r="U60" s="5">
        <f t="shared" si="1"/>
        <v>0.46189376399999998</v>
      </c>
      <c r="V60" s="18">
        <f t="shared" si="3"/>
        <v>10.041168782608695</v>
      </c>
      <c r="W60" s="5" t="s">
        <v>24</v>
      </c>
      <c r="X60" s="5" t="s">
        <v>50</v>
      </c>
      <c r="Y60" s="5" t="s">
        <v>24</v>
      </c>
      <c r="Z60" s="5" t="s">
        <v>69</v>
      </c>
      <c r="AA60" s="5" t="s">
        <v>1041</v>
      </c>
      <c r="AB60" s="5"/>
      <c r="AC60" s="5"/>
      <c r="AD60" s="5">
        <v>1</v>
      </c>
      <c r="AE60" s="5" t="str">
        <f t="shared" si="2"/>
        <v/>
      </c>
      <c r="AF60" s="5"/>
      <c r="AG60" s="2">
        <v>1</v>
      </c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</row>
    <row r="61" spans="1:72">
      <c r="A61" s="6">
        <v>85</v>
      </c>
      <c r="B61" s="6">
        <v>85</v>
      </c>
      <c r="C61" s="6">
        <v>5750</v>
      </c>
      <c r="D61" s="6" t="s">
        <v>396</v>
      </c>
      <c r="E61" s="11" t="s">
        <v>397</v>
      </c>
      <c r="F61" s="14" t="s">
        <v>398</v>
      </c>
      <c r="G61" s="14" t="s">
        <v>399</v>
      </c>
      <c r="H61" s="14" t="s">
        <v>397</v>
      </c>
      <c r="I61" s="6" t="s">
        <v>400</v>
      </c>
      <c r="J61" s="6" t="s">
        <v>316</v>
      </c>
      <c r="K61" s="6">
        <v>2</v>
      </c>
      <c r="L61" s="6">
        <v>2</v>
      </c>
      <c r="M61" s="6" t="str" cm="1">
        <f t="array" ref="M61">_xlfn.SWITCH(L61,
1,"resident",
1.5,"resident and short-distance migrant",
2,"short-distance migrant",
2.5,"short- and long-distance migrant",
3,"long-distance migrant",
"")</f>
        <v>short-distance migrant</v>
      </c>
      <c r="N61" s="6" t="s">
        <v>401</v>
      </c>
      <c r="O61" s="6"/>
      <c r="P61" s="6"/>
      <c r="Q61" s="6" t="str">
        <f t="shared" si="5"/>
        <v>Gulls</v>
      </c>
      <c r="R61" s="6">
        <v>0</v>
      </c>
      <c r="S61" s="6">
        <v>4.6189375999999997E-2</v>
      </c>
      <c r="T61" s="6">
        <v>1.062355658</v>
      </c>
      <c r="U61" s="6">
        <f t="shared" si="1"/>
        <v>1.108545034</v>
      </c>
      <c r="V61" s="7">
        <f t="shared" si="3"/>
        <v>24.098805086956524</v>
      </c>
      <c r="W61" s="6" t="s">
        <v>24</v>
      </c>
      <c r="X61" s="6" t="s">
        <v>24</v>
      </c>
      <c r="Y61" s="6" t="s">
        <v>24</v>
      </c>
      <c r="Z61" s="6" t="s">
        <v>25</v>
      </c>
      <c r="AA61" s="6"/>
      <c r="AB61" s="6"/>
      <c r="AC61" s="6"/>
      <c r="AD61" s="6"/>
      <c r="AE61" s="6" t="str">
        <f t="shared" si="2"/>
        <v/>
      </c>
      <c r="AF61" s="6"/>
    </row>
    <row r="62" spans="1:72">
      <c r="A62" s="6">
        <v>90</v>
      </c>
      <c r="B62" s="6">
        <v>90</v>
      </c>
      <c r="C62" s="6">
        <v>5920</v>
      </c>
      <c r="D62" s="6" t="s">
        <v>418</v>
      </c>
      <c r="E62" s="11" t="s">
        <v>419</v>
      </c>
      <c r="F62" s="14" t="s">
        <v>420</v>
      </c>
      <c r="G62" s="14" t="s">
        <v>421</v>
      </c>
      <c r="H62" s="14" t="s">
        <v>419</v>
      </c>
      <c r="I62" s="6" t="s">
        <v>400</v>
      </c>
      <c r="J62" s="6" t="s">
        <v>316</v>
      </c>
      <c r="K62" s="6">
        <v>2</v>
      </c>
      <c r="L62" s="6">
        <v>1.5</v>
      </c>
      <c r="M62" s="6" t="str" cm="1">
        <f t="array" ref="M62">_xlfn.SWITCH(L62,
1,"resident",
1.5,"resident and short-distance migrant",
2,"short-distance migrant",
2.5,"short- and long-distance migrant",
3,"long-distance migrant",
"")</f>
        <v>resident and short-distance migrant</v>
      </c>
      <c r="N62" s="6"/>
      <c r="O62" s="6" t="s">
        <v>401</v>
      </c>
      <c r="P62" s="6"/>
      <c r="Q62" s="6" t="str">
        <f t="shared" si="5"/>
        <v>Gulls</v>
      </c>
      <c r="R62" s="6">
        <v>10.484988449999999</v>
      </c>
      <c r="S62" s="6">
        <v>11.08545035</v>
      </c>
      <c r="T62" s="6">
        <v>13.949191689999999</v>
      </c>
      <c r="U62" s="6">
        <f t="shared" si="1"/>
        <v>35.519630489999997</v>
      </c>
      <c r="V62" s="7">
        <f t="shared" si="3"/>
        <v>772.1658802173913</v>
      </c>
      <c r="W62" s="6" t="s">
        <v>24</v>
      </c>
      <c r="X62" s="6" t="s">
        <v>24</v>
      </c>
      <c r="Y62" s="6" t="s">
        <v>24</v>
      </c>
      <c r="Z62" s="6" t="s">
        <v>25</v>
      </c>
      <c r="AA62" s="6"/>
      <c r="AB62" s="6"/>
      <c r="AC62" s="6"/>
      <c r="AD62" s="6"/>
      <c r="AE62" s="6" t="str">
        <f t="shared" si="2"/>
        <v/>
      </c>
      <c r="AF62" s="6"/>
    </row>
    <row r="63" spans="1:72">
      <c r="A63" s="6">
        <v>88</v>
      </c>
      <c r="B63" s="6">
        <v>88</v>
      </c>
      <c r="C63" s="6">
        <v>5900</v>
      </c>
      <c r="D63" s="6" t="s">
        <v>410</v>
      </c>
      <c r="E63" s="11" t="s">
        <v>411</v>
      </c>
      <c r="F63" s="14" t="s">
        <v>412</v>
      </c>
      <c r="G63" s="14" t="s">
        <v>413</v>
      </c>
      <c r="H63" s="14" t="s">
        <v>411</v>
      </c>
      <c r="I63" s="6" t="s">
        <v>400</v>
      </c>
      <c r="J63" s="6" t="s">
        <v>316</v>
      </c>
      <c r="K63" s="6">
        <v>3</v>
      </c>
      <c r="L63" s="6">
        <v>1.5</v>
      </c>
      <c r="M63" s="6" t="str" cm="1">
        <f t="array" ref="M63">_xlfn.SWITCH(L63,
1,"resident",
1.5,"resident and short-distance migrant",
2,"short-distance migrant",
2.5,"short- and long-distance migrant",
3,"long-distance migrant",
"")</f>
        <v>resident and short-distance migrant</v>
      </c>
      <c r="N63" s="6" t="s">
        <v>401</v>
      </c>
      <c r="O63" s="6"/>
      <c r="P63" s="6"/>
      <c r="Q63" s="6" t="str">
        <f t="shared" si="5"/>
        <v>Gulls</v>
      </c>
      <c r="R63" s="6">
        <v>15.288683600000001</v>
      </c>
      <c r="S63" s="6">
        <v>14.36489607</v>
      </c>
      <c r="T63" s="6">
        <v>18.52193995</v>
      </c>
      <c r="U63" s="6">
        <f t="shared" si="1"/>
        <v>48.175519620000003</v>
      </c>
      <c r="V63" s="7">
        <f t="shared" si="3"/>
        <v>1047.2939047826087</v>
      </c>
      <c r="W63" s="6" t="s">
        <v>24</v>
      </c>
      <c r="X63" s="6" t="s">
        <v>30</v>
      </c>
      <c r="Y63" s="6" t="s">
        <v>24</v>
      </c>
      <c r="Z63" s="6" t="s">
        <v>164</v>
      </c>
      <c r="AA63" s="6"/>
      <c r="AB63" s="6"/>
      <c r="AC63" s="6"/>
      <c r="AD63" s="6"/>
      <c r="AE63" s="6" t="str">
        <f t="shared" si="2"/>
        <v/>
      </c>
      <c r="AF63" s="6"/>
    </row>
    <row r="64" spans="1:72">
      <c r="A64" s="6">
        <v>89</v>
      </c>
      <c r="B64" s="6">
        <v>89</v>
      </c>
      <c r="C64" s="6">
        <v>5910</v>
      </c>
      <c r="D64" s="6" t="s">
        <v>414</v>
      </c>
      <c r="E64" s="11" t="s">
        <v>415</v>
      </c>
      <c r="F64" s="14" t="s">
        <v>416</v>
      </c>
      <c r="G64" s="14" t="s">
        <v>417</v>
      </c>
      <c r="H64" s="14" t="s">
        <v>415</v>
      </c>
      <c r="I64" s="6" t="s">
        <v>400</v>
      </c>
      <c r="J64" s="6" t="s">
        <v>316</v>
      </c>
      <c r="K64" s="6">
        <v>2</v>
      </c>
      <c r="L64" s="6">
        <v>2.5</v>
      </c>
      <c r="M64" s="6" t="str" cm="1">
        <f t="array" ref="M64">_xlfn.SWITCH(L64,
1,"resident",
1.5,"resident and short-distance migrant",
2,"short-distance migrant",
2.5,"short- and long-distance migrant",
3,"long-distance migrant",
"")</f>
        <v>short- and long-distance migrant</v>
      </c>
      <c r="N64" s="6" t="s">
        <v>401</v>
      </c>
      <c r="O64" s="6" t="s">
        <v>401</v>
      </c>
      <c r="P64" s="6"/>
      <c r="Q64" s="6" t="str">
        <f t="shared" si="5"/>
        <v>Gulls</v>
      </c>
      <c r="R64" s="6">
        <v>0.83140877599999996</v>
      </c>
      <c r="S64" s="6">
        <v>2.3094688219999999</v>
      </c>
      <c r="T64" s="6">
        <v>3.6951501150000001</v>
      </c>
      <c r="U64" s="6">
        <f t="shared" si="1"/>
        <v>6.836027713</v>
      </c>
      <c r="V64" s="7">
        <f t="shared" si="3"/>
        <v>148.60929810869567</v>
      </c>
      <c r="W64" s="6" t="s">
        <v>24</v>
      </c>
      <c r="X64" s="6" t="s">
        <v>24</v>
      </c>
      <c r="Y64" s="6" t="s">
        <v>24</v>
      </c>
      <c r="Z64" s="6" t="s">
        <v>25</v>
      </c>
      <c r="AA64" s="6"/>
      <c r="AB64" s="6"/>
      <c r="AC64" s="6"/>
      <c r="AD64" s="6"/>
      <c r="AE64" s="6" t="str">
        <f t="shared" si="2"/>
        <v/>
      </c>
      <c r="AF64" s="6"/>
    </row>
    <row r="65" spans="1:72">
      <c r="A65" s="6">
        <v>91</v>
      </c>
      <c r="B65" s="6">
        <v>91</v>
      </c>
      <c r="C65" s="6">
        <v>6000</v>
      </c>
      <c r="D65" s="6" t="s">
        <v>422</v>
      </c>
      <c r="E65" s="11" t="s">
        <v>423</v>
      </c>
      <c r="F65" s="14" t="s">
        <v>424</v>
      </c>
      <c r="G65" s="14" t="s">
        <v>425</v>
      </c>
      <c r="H65" s="14" t="s">
        <v>423</v>
      </c>
      <c r="I65" s="6" t="s">
        <v>400</v>
      </c>
      <c r="J65" s="6" t="s">
        <v>316</v>
      </c>
      <c r="K65" s="6">
        <v>2</v>
      </c>
      <c r="L65" s="6">
        <v>1.5</v>
      </c>
      <c r="M65" s="6" t="str" cm="1">
        <f t="array" ref="M65">_xlfn.SWITCH(L65,
1,"resident",
1.5,"resident and short-distance migrant",
2,"short-distance migrant",
2.5,"short- and long-distance migrant",
3,"long-distance migrant",
"")</f>
        <v>resident and short-distance migrant</v>
      </c>
      <c r="N65" s="6" t="s">
        <v>401</v>
      </c>
      <c r="O65" s="6" t="s">
        <v>401</v>
      </c>
      <c r="P65" s="6"/>
      <c r="Q65" s="6" t="str">
        <f t="shared" si="5"/>
        <v>Gulls</v>
      </c>
      <c r="R65" s="6">
        <v>1.7551963049999999</v>
      </c>
      <c r="S65" s="6">
        <v>5.4965357969999999</v>
      </c>
      <c r="T65" s="6">
        <v>6.2817551959999998</v>
      </c>
      <c r="U65" s="6">
        <f t="shared" si="1"/>
        <v>13.533487298000001</v>
      </c>
      <c r="V65" s="7">
        <f t="shared" si="3"/>
        <v>294.20624560869567</v>
      </c>
      <c r="W65" s="6" t="s">
        <v>24</v>
      </c>
      <c r="X65" s="6" t="s">
        <v>24</v>
      </c>
      <c r="Y65" s="6" t="s">
        <v>24</v>
      </c>
      <c r="Z65" s="6" t="s">
        <v>25</v>
      </c>
      <c r="AA65" s="6"/>
      <c r="AB65" s="6"/>
      <c r="AC65" s="6"/>
      <c r="AD65" s="6"/>
      <c r="AE65" s="6" t="str">
        <f t="shared" si="2"/>
        <v/>
      </c>
      <c r="AF65" s="6"/>
    </row>
    <row r="66" spans="1:72">
      <c r="A66" s="6">
        <v>78</v>
      </c>
      <c r="B66" s="6">
        <v>78</v>
      </c>
      <c r="C66" s="6">
        <v>5320</v>
      </c>
      <c r="D66" s="6" t="s">
        <v>368</v>
      </c>
      <c r="E66" s="11" t="s">
        <v>369</v>
      </c>
      <c r="F66" s="14" t="s">
        <v>370</v>
      </c>
      <c r="G66" s="14" t="s">
        <v>371</v>
      </c>
      <c r="H66" s="14" t="s">
        <v>369</v>
      </c>
      <c r="I66" s="6" t="s">
        <v>351</v>
      </c>
      <c r="J66" s="6" t="s">
        <v>316</v>
      </c>
      <c r="K66" s="6">
        <v>3</v>
      </c>
      <c r="L66" s="6">
        <v>3</v>
      </c>
      <c r="M66" s="6" t="str" cm="1">
        <f t="array" ref="M66">_xlfn.SWITCH(L66,
1,"resident",
1.5,"resident and short-distance migrant",
2,"short-distance migrant",
2.5,"short- and long-distance migrant",
3,"long-distance migrant",
"")</f>
        <v>long-distance migrant</v>
      </c>
      <c r="N66" s="6" t="s">
        <v>352</v>
      </c>
      <c r="O66" s="6" t="s">
        <v>352</v>
      </c>
      <c r="P66" s="6"/>
      <c r="Q66" s="6" t="str">
        <f t="shared" si="5"/>
        <v>Scolopacids</v>
      </c>
      <c r="R66" s="6">
        <v>3.833718245</v>
      </c>
      <c r="S66" s="6">
        <v>2.4942263279999999</v>
      </c>
      <c r="T66" s="6">
        <v>1.9399538110000001</v>
      </c>
      <c r="U66" s="6">
        <f t="shared" ref="U66:U129" si="6">R66+S66+T66</f>
        <v>8.2678983840000004</v>
      </c>
      <c r="V66" s="7">
        <f t="shared" si="3"/>
        <v>179.73692139130435</v>
      </c>
      <c r="W66" s="6" t="s">
        <v>30</v>
      </c>
      <c r="X66" s="6" t="s">
        <v>30</v>
      </c>
      <c r="Y66" s="6" t="s">
        <v>30</v>
      </c>
      <c r="Z66" s="6" t="s">
        <v>84</v>
      </c>
      <c r="AA66" s="6"/>
      <c r="AB66" s="6"/>
      <c r="AC66" s="6"/>
      <c r="AD66" s="6"/>
      <c r="AE66" s="6" t="str">
        <f t="shared" ref="AE66:AE129" si="7">IF(V66&lt;5,1,"")</f>
        <v/>
      </c>
      <c r="AF66" s="6"/>
    </row>
    <row r="67" spans="1:72" s="2" customFormat="1">
      <c r="A67" s="5">
        <v>75</v>
      </c>
      <c r="B67" s="5">
        <v>75</v>
      </c>
      <c r="C67" s="5">
        <v>5180</v>
      </c>
      <c r="D67" s="5" t="s">
        <v>356</v>
      </c>
      <c r="E67" s="16" t="s">
        <v>357</v>
      </c>
      <c r="F67" s="17" t="s">
        <v>358</v>
      </c>
      <c r="G67" s="17" t="s">
        <v>359</v>
      </c>
      <c r="H67" s="17" t="s">
        <v>357</v>
      </c>
      <c r="I67" s="5" t="s">
        <v>351</v>
      </c>
      <c r="J67" s="5" t="s">
        <v>316</v>
      </c>
      <c r="K67" s="5">
        <v>3</v>
      </c>
      <c r="L67" s="5"/>
      <c r="M67" s="5" t="str" cm="1">
        <f t="array" ref="M67">_xlfn.SWITCH(L67,
1,"resident",
1.5,"resident and short-distance migrant",
2,"short-distance migrant",
2.5,"short- and long-distance migrant",
3,"long-distance migrant",
"")</f>
        <v/>
      </c>
      <c r="N67" s="5"/>
      <c r="O67" s="5"/>
      <c r="P67" s="5"/>
      <c r="Q67" s="5"/>
      <c r="R67" s="5">
        <v>0</v>
      </c>
      <c r="S67" s="5">
        <v>0</v>
      </c>
      <c r="T67" s="5">
        <v>0</v>
      </c>
      <c r="U67" s="5">
        <f t="shared" si="6"/>
        <v>0</v>
      </c>
      <c r="V67" s="18">
        <f t="shared" ref="V67:V130" si="8">U67/0.046</f>
        <v>0</v>
      </c>
      <c r="W67" s="5" t="s">
        <v>50</v>
      </c>
      <c r="X67" s="5" t="s">
        <v>50</v>
      </c>
      <c r="Y67" s="5" t="s">
        <v>50</v>
      </c>
      <c r="Z67" s="5" t="s">
        <v>51</v>
      </c>
      <c r="AA67" s="5" t="s">
        <v>1035</v>
      </c>
      <c r="AB67" s="5">
        <v>1</v>
      </c>
      <c r="AC67" s="5"/>
      <c r="AD67" s="5"/>
      <c r="AE67" s="5">
        <f t="shared" si="7"/>
        <v>1</v>
      </c>
      <c r="AF67" s="5"/>
      <c r="AG67" s="2">
        <v>1</v>
      </c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</row>
    <row r="68" spans="1:72">
      <c r="A68" s="6">
        <v>79</v>
      </c>
      <c r="B68" s="6">
        <v>79</v>
      </c>
      <c r="C68" s="6">
        <v>5410</v>
      </c>
      <c r="D68" s="6" t="s">
        <v>372</v>
      </c>
      <c r="E68" s="11" t="s">
        <v>373</v>
      </c>
      <c r="F68" s="14" t="s">
        <v>374</v>
      </c>
      <c r="G68" s="14" t="s">
        <v>375</v>
      </c>
      <c r="H68" s="14" t="s">
        <v>373</v>
      </c>
      <c r="I68" s="6" t="s">
        <v>351</v>
      </c>
      <c r="J68" s="6" t="s">
        <v>316</v>
      </c>
      <c r="K68" s="6">
        <v>3</v>
      </c>
      <c r="L68" s="6">
        <v>2</v>
      </c>
      <c r="M68" s="6" t="str" cm="1">
        <f t="array" ref="M68">_xlfn.SWITCH(L68,
1,"resident",
1.5,"resident and short-distance migrant",
2,"short-distance migrant",
2.5,"short- and long-distance migrant",
3,"long-distance migrant",
"")</f>
        <v>short-distance migrant</v>
      </c>
      <c r="N68" s="6"/>
      <c r="O68" s="6" t="s">
        <v>352</v>
      </c>
      <c r="P68" s="6"/>
      <c r="Q68" s="6" t="str">
        <f t="shared" ref="Q68:Q83" si="9">IF(NOT(ISBLANK(P68)), P68, IF(NOT(ISBLANK(O68)), O68, N68))</f>
        <v>Scolopacids</v>
      </c>
      <c r="R68" s="6">
        <v>6.6974595839999997</v>
      </c>
      <c r="S68" s="6">
        <v>6.0046189380000001</v>
      </c>
      <c r="T68" s="6">
        <v>5.2193995380000002</v>
      </c>
      <c r="U68" s="6">
        <f t="shared" si="6"/>
        <v>17.921478060000002</v>
      </c>
      <c r="V68" s="7">
        <f t="shared" si="8"/>
        <v>389.59734913043485</v>
      </c>
      <c r="W68" s="6" t="s">
        <v>30</v>
      </c>
      <c r="X68" s="6" t="s">
        <v>30</v>
      </c>
      <c r="Y68" s="6" t="s">
        <v>30</v>
      </c>
      <c r="Z68" s="6" t="s">
        <v>84</v>
      </c>
      <c r="AA68" s="6"/>
      <c r="AB68" s="6"/>
      <c r="AC68" s="6"/>
      <c r="AD68" s="6"/>
      <c r="AE68" s="6" t="str">
        <f t="shared" si="7"/>
        <v/>
      </c>
      <c r="AF68" s="6"/>
    </row>
    <row r="69" spans="1:72">
      <c r="A69" s="6">
        <v>71</v>
      </c>
      <c r="B69" s="6">
        <v>71</v>
      </c>
      <c r="C69" s="6">
        <v>4850</v>
      </c>
      <c r="D69" s="6" t="s">
        <v>340</v>
      </c>
      <c r="E69" s="11" t="s">
        <v>341</v>
      </c>
      <c r="F69" s="14" t="s">
        <v>342</v>
      </c>
      <c r="G69" s="14" t="s">
        <v>343</v>
      </c>
      <c r="H69" s="14" t="s">
        <v>341</v>
      </c>
      <c r="I69" s="6" t="s">
        <v>331</v>
      </c>
      <c r="J69" s="6" t="s">
        <v>316</v>
      </c>
      <c r="K69" s="6">
        <v>3</v>
      </c>
      <c r="L69" s="6">
        <v>2</v>
      </c>
      <c r="M69" s="6" t="str" cm="1">
        <f t="array" ref="M69">_xlfn.SWITCH(L69,
1,"resident",
1.5,"resident and short-distance migrant",
2,"short-distance migrant",
2.5,"short- and long-distance migrant",
3,"long-distance migrant",
"")</f>
        <v>short-distance migrant</v>
      </c>
      <c r="N69" s="6" t="s">
        <v>317</v>
      </c>
      <c r="O69" s="6" t="s">
        <v>317</v>
      </c>
      <c r="P69" s="6"/>
      <c r="Q69" s="6" t="str">
        <f t="shared" si="9"/>
        <v>Plovers</v>
      </c>
      <c r="R69" s="6">
        <v>0.41570438799999998</v>
      </c>
      <c r="S69" s="6">
        <v>0.23094688199999999</v>
      </c>
      <c r="T69" s="6">
        <v>4.6189375999999997E-2</v>
      </c>
      <c r="U69" s="6">
        <f t="shared" si="6"/>
        <v>0.69284064599999995</v>
      </c>
      <c r="V69" s="7">
        <f t="shared" si="8"/>
        <v>15.061753173913043</v>
      </c>
      <c r="W69" s="6" t="s">
        <v>30</v>
      </c>
      <c r="X69" s="6" t="s">
        <v>30</v>
      </c>
      <c r="Y69" s="6" t="s">
        <v>30</v>
      </c>
      <c r="Z69" s="6" t="s">
        <v>84</v>
      </c>
      <c r="AA69" s="6"/>
      <c r="AB69" s="6"/>
      <c r="AC69" s="6"/>
      <c r="AD69" s="6"/>
      <c r="AE69" s="6" t="str">
        <f t="shared" si="7"/>
        <v/>
      </c>
      <c r="AF69" s="6"/>
    </row>
    <row r="70" spans="1:72">
      <c r="A70" s="6">
        <v>67</v>
      </c>
      <c r="B70" s="6">
        <v>67</v>
      </c>
      <c r="C70" s="6">
        <v>4560</v>
      </c>
      <c r="D70" s="6" t="s">
        <v>323</v>
      </c>
      <c r="E70" s="11" t="s">
        <v>324</v>
      </c>
      <c r="F70" s="14" t="s">
        <v>325</v>
      </c>
      <c r="G70" s="14" t="s">
        <v>326</v>
      </c>
      <c r="H70" s="14" t="s">
        <v>324</v>
      </c>
      <c r="I70" s="6" t="s">
        <v>322</v>
      </c>
      <c r="J70" s="6" t="s">
        <v>316</v>
      </c>
      <c r="K70" s="6">
        <v>2</v>
      </c>
      <c r="L70" s="6">
        <v>2.5</v>
      </c>
      <c r="M70" s="6" t="str" cm="1">
        <f t="array" ref="M70">_xlfn.SWITCH(L70,
1,"resident",
1.5,"resident and short-distance migrant",
2,"short-distance migrant",
2.5,"short- and long-distance migrant",
3,"long-distance migrant",
"")</f>
        <v>short- and long-distance migrant</v>
      </c>
      <c r="N70" s="6" t="s">
        <v>317</v>
      </c>
      <c r="O70" s="6" t="s">
        <v>317</v>
      </c>
      <c r="P70" s="6"/>
      <c r="Q70" s="6" t="str">
        <f t="shared" si="9"/>
        <v>Plovers</v>
      </c>
      <c r="R70" s="6">
        <v>12.009237880000001</v>
      </c>
      <c r="S70" s="6">
        <v>10.115473440000001</v>
      </c>
      <c r="T70" s="6">
        <v>9.6535796769999997</v>
      </c>
      <c r="U70" s="6">
        <f t="shared" si="6"/>
        <v>31.778290997000003</v>
      </c>
      <c r="V70" s="7">
        <f t="shared" si="8"/>
        <v>690.83241297826089</v>
      </c>
      <c r="W70" s="6" t="s">
        <v>30</v>
      </c>
      <c r="X70" s="6" t="s">
        <v>30</v>
      </c>
      <c r="Y70" s="6" t="s">
        <v>30</v>
      </c>
      <c r="Z70" s="6" t="s">
        <v>84</v>
      </c>
      <c r="AA70" s="6"/>
      <c r="AB70" s="6"/>
      <c r="AC70" s="6"/>
      <c r="AD70" s="6"/>
      <c r="AE70" s="6" t="str">
        <f t="shared" si="7"/>
        <v/>
      </c>
      <c r="AF70" s="6"/>
    </row>
    <row r="71" spans="1:72">
      <c r="A71" s="6">
        <v>92</v>
      </c>
      <c r="B71" s="6">
        <v>92</v>
      </c>
      <c r="C71" s="6">
        <v>6020</v>
      </c>
      <c r="D71" s="6" t="s">
        <v>426</v>
      </c>
      <c r="E71" s="11" t="s">
        <v>427</v>
      </c>
      <c r="F71" s="14" t="s">
        <v>428</v>
      </c>
      <c r="G71" s="14" t="s">
        <v>429</v>
      </c>
      <c r="H71" s="14" t="s">
        <v>427</v>
      </c>
      <c r="I71" s="6" t="s">
        <v>400</v>
      </c>
      <c r="J71" s="6" t="s">
        <v>316</v>
      </c>
      <c r="K71" s="6">
        <v>2</v>
      </c>
      <c r="L71" s="6">
        <v>3</v>
      </c>
      <c r="M71" s="6" t="str" cm="1">
        <f t="array" ref="M71">_xlfn.SWITCH(L71,
1,"resident",
1.5,"resident and short-distance migrant",
2,"short-distance migrant",
2.5,"short- and long-distance migrant",
3,"long-distance migrant",
"")</f>
        <v>long-distance migrant</v>
      </c>
      <c r="N71" s="6" t="s">
        <v>401</v>
      </c>
      <c r="O71" s="6"/>
      <c r="P71" s="6"/>
      <c r="Q71" s="6" t="str">
        <f t="shared" si="9"/>
        <v>Gulls</v>
      </c>
      <c r="R71" s="6">
        <v>0.18475750599999999</v>
      </c>
      <c r="S71" s="6">
        <v>0.23094688199999999</v>
      </c>
      <c r="T71" s="6">
        <v>9.2378752999999994E-2</v>
      </c>
      <c r="U71" s="6">
        <f t="shared" si="6"/>
        <v>0.50808314099999996</v>
      </c>
      <c r="V71" s="7">
        <f t="shared" si="8"/>
        <v>11.045285673913043</v>
      </c>
      <c r="W71" s="6" t="s">
        <v>30</v>
      </c>
      <c r="X71" s="6" t="s">
        <v>24</v>
      </c>
      <c r="Y71" s="6" t="s">
        <v>30</v>
      </c>
      <c r="Z71" s="6" t="s">
        <v>31</v>
      </c>
      <c r="AA71" s="6"/>
      <c r="AB71" s="6"/>
      <c r="AC71" s="6"/>
      <c r="AD71" s="6"/>
      <c r="AE71" s="6" t="str">
        <f t="shared" si="7"/>
        <v/>
      </c>
      <c r="AF71" s="6"/>
    </row>
    <row r="72" spans="1:72">
      <c r="A72" s="6">
        <v>77</v>
      </c>
      <c r="B72" s="6">
        <v>77</v>
      </c>
      <c r="C72" s="6">
        <v>5290</v>
      </c>
      <c r="D72" s="6" t="s">
        <v>364</v>
      </c>
      <c r="E72" s="11" t="s">
        <v>365</v>
      </c>
      <c r="F72" s="14" t="s">
        <v>366</v>
      </c>
      <c r="G72" s="14" t="s">
        <v>367</v>
      </c>
      <c r="H72" s="14" t="s">
        <v>365</v>
      </c>
      <c r="I72" s="6" t="s">
        <v>351</v>
      </c>
      <c r="J72" s="6" t="s">
        <v>316</v>
      </c>
      <c r="K72" s="6">
        <v>3</v>
      </c>
      <c r="L72" s="6">
        <v>1.5</v>
      </c>
      <c r="M72" s="6" t="str" cm="1">
        <f t="array" ref="M72">_xlfn.SWITCH(L72,
1,"resident",
1.5,"resident and short-distance migrant",
2,"short-distance migrant",
2.5,"short- and long-distance migrant",
3,"long-distance migrant",
"")</f>
        <v>resident and short-distance migrant</v>
      </c>
      <c r="N72" s="6" t="s">
        <v>352</v>
      </c>
      <c r="O72" s="6" t="s">
        <v>352</v>
      </c>
      <c r="P72" s="6"/>
      <c r="Q72" s="6" t="str">
        <f t="shared" si="9"/>
        <v>Scolopacids</v>
      </c>
      <c r="R72" s="6">
        <v>10.57736721</v>
      </c>
      <c r="S72" s="6">
        <v>16.581986140000001</v>
      </c>
      <c r="T72" s="6">
        <v>14.91916859</v>
      </c>
      <c r="U72" s="6">
        <f t="shared" si="6"/>
        <v>42.078521940000002</v>
      </c>
      <c r="V72" s="7">
        <f t="shared" si="8"/>
        <v>914.75047695652177</v>
      </c>
      <c r="W72" s="6" t="s">
        <v>24</v>
      </c>
      <c r="X72" s="6" t="s">
        <v>24</v>
      </c>
      <c r="Y72" s="6" t="s">
        <v>30</v>
      </c>
      <c r="Z72" s="6" t="s">
        <v>31</v>
      </c>
      <c r="AA72" s="6"/>
      <c r="AB72" s="6"/>
      <c r="AC72" s="6"/>
      <c r="AD72" s="6"/>
      <c r="AE72" s="6" t="str">
        <f t="shared" si="7"/>
        <v/>
      </c>
      <c r="AF72" s="6"/>
    </row>
    <row r="73" spans="1:72">
      <c r="A73" s="6">
        <v>96</v>
      </c>
      <c r="B73" s="6">
        <v>96</v>
      </c>
      <c r="C73" s="6">
        <v>6150</v>
      </c>
      <c r="D73" s="6" t="s">
        <v>443</v>
      </c>
      <c r="E73" s="11" t="s">
        <v>444</v>
      </c>
      <c r="F73" s="14" t="s">
        <v>445</v>
      </c>
      <c r="G73" s="14" t="s">
        <v>446</v>
      </c>
      <c r="H73" s="14" t="s">
        <v>444</v>
      </c>
      <c r="I73" s="6" t="s">
        <v>400</v>
      </c>
      <c r="J73" s="6" t="s">
        <v>316</v>
      </c>
      <c r="K73" s="6">
        <v>3</v>
      </c>
      <c r="L73" s="6">
        <v>3</v>
      </c>
      <c r="M73" s="6" t="str" cm="1">
        <f t="array" ref="M73">_xlfn.SWITCH(L73,
1,"resident",
1.5,"resident and short-distance migrant",
2,"short-distance migrant",
2.5,"short- and long-distance migrant",
3,"long-distance migrant",
"")</f>
        <v>long-distance migrant</v>
      </c>
      <c r="N73" s="6" t="s">
        <v>434</v>
      </c>
      <c r="O73" s="6" t="s">
        <v>434</v>
      </c>
      <c r="P73" s="6"/>
      <c r="Q73" s="6" t="str">
        <f t="shared" si="9"/>
        <v>Terns</v>
      </c>
      <c r="R73" s="6">
        <v>7.3903002310000003</v>
      </c>
      <c r="S73" s="6">
        <v>4.8960739029999996</v>
      </c>
      <c r="T73" s="6">
        <v>5.8198614319999997</v>
      </c>
      <c r="U73" s="6">
        <f t="shared" si="6"/>
        <v>18.106235565999999</v>
      </c>
      <c r="V73" s="7">
        <f t="shared" si="8"/>
        <v>393.61381665217391</v>
      </c>
      <c r="W73" s="6" t="s">
        <v>30</v>
      </c>
      <c r="X73" s="6" t="s">
        <v>30</v>
      </c>
      <c r="Y73" s="6" t="s">
        <v>24</v>
      </c>
      <c r="Z73" s="6" t="s">
        <v>164</v>
      </c>
      <c r="AA73" s="6"/>
      <c r="AB73" s="6"/>
      <c r="AC73" s="6"/>
      <c r="AD73" s="6"/>
      <c r="AE73" s="6" t="str">
        <f t="shared" si="7"/>
        <v/>
      </c>
      <c r="AF73" s="6"/>
    </row>
    <row r="74" spans="1:72">
      <c r="A74" s="6">
        <v>97</v>
      </c>
      <c r="B74" s="6">
        <v>97</v>
      </c>
      <c r="C74" s="6">
        <v>6160</v>
      </c>
      <c r="D74" s="6" t="s">
        <v>447</v>
      </c>
      <c r="E74" s="11" t="s">
        <v>448</v>
      </c>
      <c r="F74" s="14" t="s">
        <v>449</v>
      </c>
      <c r="G74" s="14" t="s">
        <v>450</v>
      </c>
      <c r="H74" s="14" t="s">
        <v>448</v>
      </c>
      <c r="I74" s="6" t="s">
        <v>400</v>
      </c>
      <c r="J74" s="6" t="s">
        <v>316</v>
      </c>
      <c r="K74" s="6">
        <v>3</v>
      </c>
      <c r="L74" s="6">
        <v>3</v>
      </c>
      <c r="M74" s="6" t="str" cm="1">
        <f t="array" ref="M74">_xlfn.SWITCH(L74,
1,"resident",
1.5,"resident and short-distance migrant",
2,"short-distance migrant",
2.5,"short- and long-distance migrant",
3,"long-distance migrant",
"")</f>
        <v>long-distance migrant</v>
      </c>
      <c r="N74" s="6" t="s">
        <v>434</v>
      </c>
      <c r="O74" s="6" t="s">
        <v>434</v>
      </c>
      <c r="P74" s="6"/>
      <c r="Q74" s="6" t="str">
        <f t="shared" si="9"/>
        <v>Terns</v>
      </c>
      <c r="R74" s="6">
        <v>10.531177830000001</v>
      </c>
      <c r="S74" s="6">
        <v>9.5612009239999995</v>
      </c>
      <c r="T74" s="6">
        <v>7.4826789839999996</v>
      </c>
      <c r="U74" s="6">
        <f t="shared" si="6"/>
        <v>27.575057738000002</v>
      </c>
      <c r="V74" s="7">
        <f t="shared" si="8"/>
        <v>599.45777691304352</v>
      </c>
      <c r="W74" s="6" t="s">
        <v>30</v>
      </c>
      <c r="X74" s="6" t="s">
        <v>30</v>
      </c>
      <c r="Y74" s="6" t="s">
        <v>30</v>
      </c>
      <c r="Z74" s="6" t="s">
        <v>84</v>
      </c>
      <c r="AA74" s="6"/>
      <c r="AB74" s="6"/>
      <c r="AC74" s="6"/>
      <c r="AD74" s="6"/>
      <c r="AE74" s="6" t="str">
        <f t="shared" si="7"/>
        <v/>
      </c>
      <c r="AF74" s="6"/>
    </row>
    <row r="75" spans="1:72">
      <c r="A75" s="6">
        <v>98</v>
      </c>
      <c r="B75" s="6">
        <v>98</v>
      </c>
      <c r="C75" s="6">
        <v>6240</v>
      </c>
      <c r="D75" s="6" t="s">
        <v>451</v>
      </c>
      <c r="E75" s="11" t="s">
        <v>452</v>
      </c>
      <c r="F75" s="14" t="s">
        <v>453</v>
      </c>
      <c r="G75" s="14" t="s">
        <v>454</v>
      </c>
      <c r="H75" s="14" t="s">
        <v>452</v>
      </c>
      <c r="I75" s="6" t="s">
        <v>400</v>
      </c>
      <c r="J75" s="6" t="s">
        <v>316</v>
      </c>
      <c r="K75" s="6">
        <v>3</v>
      </c>
      <c r="L75" s="6">
        <v>3</v>
      </c>
      <c r="M75" s="6" t="str" cm="1">
        <f t="array" ref="M75">_xlfn.SWITCH(L75,
1,"resident",
1.5,"resident and short-distance migrant",
2,"short-distance migrant",
2.5,"short- and long-distance migrant",
3,"long-distance migrant",
"")</f>
        <v>long-distance migrant</v>
      </c>
      <c r="N75" s="6" t="s">
        <v>434</v>
      </c>
      <c r="O75" s="6" t="s">
        <v>434</v>
      </c>
      <c r="P75" s="6"/>
      <c r="Q75" s="6" t="str">
        <f t="shared" si="9"/>
        <v>Terns</v>
      </c>
      <c r="R75" s="6">
        <v>7.9907621249999998</v>
      </c>
      <c r="S75" s="6">
        <v>3.6951501150000001</v>
      </c>
      <c r="T75" s="6">
        <v>3.418013857</v>
      </c>
      <c r="U75" s="6">
        <f t="shared" si="6"/>
        <v>15.103926097</v>
      </c>
      <c r="V75" s="7">
        <f t="shared" si="8"/>
        <v>328.34621950000002</v>
      </c>
      <c r="W75" s="6" t="s">
        <v>30</v>
      </c>
      <c r="X75" s="6" t="s">
        <v>30</v>
      </c>
      <c r="Y75" s="6" t="s">
        <v>30</v>
      </c>
      <c r="Z75" s="6" t="s">
        <v>84</v>
      </c>
      <c r="AA75" s="6"/>
      <c r="AB75" s="6"/>
      <c r="AC75" s="6"/>
      <c r="AD75" s="6"/>
      <c r="AE75" s="6" t="str">
        <f t="shared" si="7"/>
        <v/>
      </c>
      <c r="AF75" s="6"/>
    </row>
    <row r="76" spans="1:72" s="1" customFormat="1">
      <c r="A76" s="6">
        <v>95</v>
      </c>
      <c r="B76" s="6">
        <v>95</v>
      </c>
      <c r="C76" s="6">
        <v>6110</v>
      </c>
      <c r="D76" s="6" t="s">
        <v>439</v>
      </c>
      <c r="E76" s="11" t="s">
        <v>440</v>
      </c>
      <c r="F76" s="14" t="s">
        <v>441</v>
      </c>
      <c r="G76" s="14" t="s">
        <v>442</v>
      </c>
      <c r="H76" s="14" t="s">
        <v>440</v>
      </c>
      <c r="I76" s="6" t="s">
        <v>400</v>
      </c>
      <c r="J76" s="6" t="s">
        <v>316</v>
      </c>
      <c r="K76" s="6">
        <v>3</v>
      </c>
      <c r="L76" s="6">
        <v>2.5</v>
      </c>
      <c r="M76" s="6" t="str" cm="1">
        <f t="array" ref="M76">_xlfn.SWITCH(L76,
1,"resident",
1.5,"resident and short-distance migrant",
2,"short-distance migrant",
2.5,"short- and long-distance migrant",
3,"long-distance migrant",
"")</f>
        <v>short- and long-distance migrant</v>
      </c>
      <c r="N76" s="6" t="s">
        <v>434</v>
      </c>
      <c r="O76" s="6" t="s">
        <v>434</v>
      </c>
      <c r="P76" s="6"/>
      <c r="Q76" s="6" t="str">
        <f t="shared" si="9"/>
        <v>Terns</v>
      </c>
      <c r="R76" s="6">
        <v>2.3094688219999999</v>
      </c>
      <c r="S76" s="6">
        <v>1.3394919169999999</v>
      </c>
      <c r="T76" s="6">
        <v>0.87759815200000002</v>
      </c>
      <c r="U76" s="6">
        <f t="shared" si="6"/>
        <v>4.5265588909999996</v>
      </c>
      <c r="V76" s="7">
        <f t="shared" si="8"/>
        <v>98.403454152173907</v>
      </c>
      <c r="W76" s="6" t="s">
        <v>30</v>
      </c>
      <c r="X76" s="6" t="s">
        <v>30</v>
      </c>
      <c r="Y76" s="6" t="s">
        <v>30</v>
      </c>
      <c r="Z76" s="6" t="s">
        <v>84</v>
      </c>
      <c r="AA76" s="6"/>
      <c r="AB76" s="6"/>
      <c r="AC76" s="6"/>
      <c r="AD76" s="6"/>
      <c r="AE76" s="6" t="str">
        <f t="shared" si="7"/>
        <v/>
      </c>
      <c r="AF76" s="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</row>
    <row r="77" spans="1:72">
      <c r="A77" s="6">
        <v>82</v>
      </c>
      <c r="B77" s="6">
        <v>82</v>
      </c>
      <c r="C77" s="6">
        <v>5540</v>
      </c>
      <c r="D77" s="6" t="s">
        <v>384</v>
      </c>
      <c r="E77" s="11" t="s">
        <v>385</v>
      </c>
      <c r="F77" s="14" t="s">
        <v>386</v>
      </c>
      <c r="G77" s="14" t="s">
        <v>387</v>
      </c>
      <c r="H77" s="14" t="s">
        <v>385</v>
      </c>
      <c r="I77" s="6" t="s">
        <v>351</v>
      </c>
      <c r="J77" s="6" t="s">
        <v>316</v>
      </c>
      <c r="K77" s="6">
        <v>3</v>
      </c>
      <c r="L77" s="6">
        <v>3</v>
      </c>
      <c r="M77" s="6" t="str" cm="1">
        <f t="array" ref="M77">_xlfn.SWITCH(L77,
1,"resident",
1.5,"resident and short-distance migrant",
2,"short-distance migrant",
2.5,"short- and long-distance migrant",
3,"long-distance migrant",
"")</f>
        <v>long-distance migrant</v>
      </c>
      <c r="N77" s="6" t="s">
        <v>352</v>
      </c>
      <c r="O77" s="6"/>
      <c r="P77" s="6"/>
      <c r="Q77" s="6" t="str">
        <f t="shared" si="9"/>
        <v>Scolopacids</v>
      </c>
      <c r="R77" s="6">
        <v>3.0484988450000001</v>
      </c>
      <c r="S77" s="6">
        <v>1.29330254</v>
      </c>
      <c r="T77" s="6">
        <v>0.87759815200000002</v>
      </c>
      <c r="U77" s="6">
        <f t="shared" si="6"/>
        <v>5.2193995370000001</v>
      </c>
      <c r="V77" s="7">
        <f t="shared" si="8"/>
        <v>113.46520732608697</v>
      </c>
      <c r="W77" s="6" t="s">
        <v>30</v>
      </c>
      <c r="X77" s="6" t="s">
        <v>30</v>
      </c>
      <c r="Y77" s="6" t="s">
        <v>30</v>
      </c>
      <c r="Z77" s="6" t="s">
        <v>84</v>
      </c>
      <c r="AA77" s="6"/>
      <c r="AB77" s="6"/>
      <c r="AC77" s="6"/>
      <c r="AD77" s="6"/>
      <c r="AE77" s="6" t="str">
        <f t="shared" si="7"/>
        <v/>
      </c>
      <c r="AF77" s="6"/>
    </row>
    <row r="78" spans="1:72">
      <c r="A78" s="6">
        <v>81</v>
      </c>
      <c r="B78" s="6">
        <v>81</v>
      </c>
      <c r="C78" s="6">
        <v>5530</v>
      </c>
      <c r="D78" s="6" t="s">
        <v>380</v>
      </c>
      <c r="E78" s="11" t="s">
        <v>381</v>
      </c>
      <c r="F78" s="14" t="s">
        <v>382</v>
      </c>
      <c r="G78" s="14" t="s">
        <v>383</v>
      </c>
      <c r="H78" s="14" t="s">
        <v>381</v>
      </c>
      <c r="I78" s="6" t="s">
        <v>351</v>
      </c>
      <c r="J78" s="6" t="s">
        <v>316</v>
      </c>
      <c r="K78" s="6">
        <v>3</v>
      </c>
      <c r="L78" s="6">
        <v>2.5</v>
      </c>
      <c r="M78" s="6" t="str" cm="1">
        <f t="array" ref="M78">_xlfn.SWITCH(L78,
1,"resident",
1.5,"resident and short-distance migrant",
2,"short-distance migrant",
2.5,"short- and long-distance migrant",
3,"long-distance migrant",
"")</f>
        <v>short- and long-distance migrant</v>
      </c>
      <c r="N78" s="6" t="s">
        <v>352</v>
      </c>
      <c r="O78" s="6" t="s">
        <v>352</v>
      </c>
      <c r="P78" s="6"/>
      <c r="Q78" s="6" t="str">
        <f t="shared" si="9"/>
        <v>Scolopacids</v>
      </c>
      <c r="R78" s="6">
        <v>1.2471131639999999</v>
      </c>
      <c r="S78" s="6">
        <v>1.7551963049999999</v>
      </c>
      <c r="T78" s="6">
        <v>1.4318706699999999</v>
      </c>
      <c r="U78" s="6">
        <f t="shared" si="6"/>
        <v>4.4341801390000004</v>
      </c>
      <c r="V78" s="7">
        <f t="shared" si="8"/>
        <v>96.395220413043489</v>
      </c>
      <c r="W78" s="6" t="s">
        <v>24</v>
      </c>
      <c r="X78" s="6" t="s">
        <v>24</v>
      </c>
      <c r="Y78" s="6" t="s">
        <v>30</v>
      </c>
      <c r="Z78" s="6" t="s">
        <v>31</v>
      </c>
      <c r="AA78" s="6"/>
      <c r="AB78" s="6"/>
      <c r="AC78" s="6"/>
      <c r="AD78" s="6"/>
      <c r="AE78" s="6" t="str">
        <f t="shared" si="7"/>
        <v/>
      </c>
      <c r="AF78" s="6"/>
    </row>
    <row r="79" spans="1:72">
      <c r="A79" s="6">
        <v>80</v>
      </c>
      <c r="B79" s="6">
        <v>80</v>
      </c>
      <c r="C79" s="6">
        <v>5460</v>
      </c>
      <c r="D79" s="6" t="s">
        <v>376</v>
      </c>
      <c r="E79" s="11" t="s">
        <v>377</v>
      </c>
      <c r="F79" s="14" t="s">
        <v>378</v>
      </c>
      <c r="G79" s="14" t="s">
        <v>379</v>
      </c>
      <c r="H79" s="14" t="s">
        <v>377</v>
      </c>
      <c r="I79" s="6" t="s">
        <v>351</v>
      </c>
      <c r="J79" s="6" t="s">
        <v>316</v>
      </c>
      <c r="K79" s="6">
        <v>3</v>
      </c>
      <c r="L79" s="6">
        <v>2</v>
      </c>
      <c r="M79" s="6" t="str" cm="1">
        <f t="array" ref="M79">_xlfn.SWITCH(L79,
1,"resident",
1.5,"resident and short-distance migrant",
2,"short-distance migrant",
2.5,"short- and long-distance migrant",
3,"long-distance migrant",
"")</f>
        <v>short-distance migrant</v>
      </c>
      <c r="N79" s="6" t="s">
        <v>352</v>
      </c>
      <c r="O79" s="6" t="s">
        <v>352</v>
      </c>
      <c r="P79" s="6"/>
      <c r="Q79" s="6" t="str">
        <f t="shared" si="9"/>
        <v>Scolopacids</v>
      </c>
      <c r="R79" s="6">
        <v>34.3187067</v>
      </c>
      <c r="S79" s="6">
        <v>30.16166282</v>
      </c>
      <c r="T79" s="6">
        <v>25.311778289999999</v>
      </c>
      <c r="U79" s="6">
        <f t="shared" si="6"/>
        <v>89.792147809999989</v>
      </c>
      <c r="V79" s="7">
        <f t="shared" si="8"/>
        <v>1952.0032132608694</v>
      </c>
      <c r="W79" s="6" t="s">
        <v>30</v>
      </c>
      <c r="X79" s="6" t="s">
        <v>30</v>
      </c>
      <c r="Y79" s="6" t="s">
        <v>30</v>
      </c>
      <c r="Z79" s="6" t="s">
        <v>84</v>
      </c>
      <c r="AA79" s="6"/>
      <c r="AB79" s="6"/>
      <c r="AC79" s="6"/>
      <c r="AD79" s="6"/>
      <c r="AE79" s="6" t="str">
        <f t="shared" si="7"/>
        <v/>
      </c>
      <c r="AF79" s="6"/>
    </row>
    <row r="80" spans="1:72" s="2" customFormat="1">
      <c r="A80" s="5">
        <v>101</v>
      </c>
      <c r="B80" s="5">
        <v>101</v>
      </c>
      <c r="C80" s="5">
        <v>6340</v>
      </c>
      <c r="D80" s="5" t="s">
        <v>463</v>
      </c>
      <c r="E80" s="16" t="s">
        <v>464</v>
      </c>
      <c r="F80" s="17" t="s">
        <v>465</v>
      </c>
      <c r="G80" s="17" t="s">
        <v>466</v>
      </c>
      <c r="H80" s="17" t="s">
        <v>464</v>
      </c>
      <c r="I80" s="5" t="s">
        <v>467</v>
      </c>
      <c r="J80" s="5" t="s">
        <v>316</v>
      </c>
      <c r="K80" s="5">
        <v>3</v>
      </c>
      <c r="L80" s="5">
        <v>2</v>
      </c>
      <c r="M80" s="5" t="str" cm="1">
        <f t="array" ref="M80">_xlfn.SWITCH(L80,
1,"resident",
1.5,"resident and short-distance migrant",
2,"short-distance migrant",
2.5,"short- and long-distance migrant",
3,"long-distance migrant",
"")</f>
        <v>short-distance migrant</v>
      </c>
      <c r="N80" s="5"/>
      <c r="O80" s="5"/>
      <c r="P80" s="5" t="s">
        <v>23</v>
      </c>
      <c r="Q80" s="5" t="str">
        <f t="shared" si="9"/>
        <v>Aquatic pursuers</v>
      </c>
      <c r="R80" s="5">
        <v>4.6189375999999997E-2</v>
      </c>
      <c r="S80" s="5">
        <v>4.6189375999999997E-2</v>
      </c>
      <c r="T80" s="5">
        <v>0.13856812900000001</v>
      </c>
      <c r="U80" s="5">
        <f t="shared" si="6"/>
        <v>0.23094688099999999</v>
      </c>
      <c r="V80" s="18">
        <f t="shared" si="8"/>
        <v>5.020584369565217</v>
      </c>
      <c r="W80" s="5" t="s">
        <v>24</v>
      </c>
      <c r="X80" s="5" t="s">
        <v>50</v>
      </c>
      <c r="Y80" s="5" t="s">
        <v>24</v>
      </c>
      <c r="Z80" s="5" t="s">
        <v>69</v>
      </c>
      <c r="AA80" s="5" t="s">
        <v>1041</v>
      </c>
      <c r="AB80" s="5"/>
      <c r="AC80" s="5"/>
      <c r="AD80" s="5">
        <v>1</v>
      </c>
      <c r="AE80" s="5" t="str">
        <f t="shared" si="7"/>
        <v/>
      </c>
      <c r="AF80" s="5"/>
      <c r="AG80" s="2">
        <v>1</v>
      </c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</row>
    <row r="81" spans="1:72">
      <c r="A81" s="6">
        <v>72</v>
      </c>
      <c r="B81" s="6">
        <v>72</v>
      </c>
      <c r="C81" s="6">
        <v>4930</v>
      </c>
      <c r="D81" s="6" t="s">
        <v>344</v>
      </c>
      <c r="E81" s="11" t="s">
        <v>345</v>
      </c>
      <c r="F81" s="14" t="s">
        <v>346</v>
      </c>
      <c r="G81" s="14" t="s">
        <v>347</v>
      </c>
      <c r="H81" s="14" t="s">
        <v>345</v>
      </c>
      <c r="I81" s="6" t="s">
        <v>331</v>
      </c>
      <c r="J81" s="6" t="s">
        <v>316</v>
      </c>
      <c r="K81" s="6">
        <v>2</v>
      </c>
      <c r="L81" s="6">
        <v>2</v>
      </c>
      <c r="M81" s="6" t="str" cm="1">
        <f t="array" ref="M81">_xlfn.SWITCH(L81,
1,"resident",
1.5,"resident and short-distance migrant",
2,"short-distance migrant",
2.5,"short- and long-distance migrant",
3,"long-distance migrant",
"")</f>
        <v>short-distance migrant</v>
      </c>
      <c r="N81" s="6" t="s">
        <v>317</v>
      </c>
      <c r="O81" s="6" t="s">
        <v>317</v>
      </c>
      <c r="P81" s="6"/>
      <c r="Q81" s="6" t="str">
        <f t="shared" si="9"/>
        <v>Plovers</v>
      </c>
      <c r="R81" s="6">
        <v>86.789838340000003</v>
      </c>
      <c r="S81" s="6">
        <v>88.175519629999997</v>
      </c>
      <c r="T81" s="6">
        <v>83.187066970000004</v>
      </c>
      <c r="U81" s="6">
        <f t="shared" si="6"/>
        <v>258.15242494</v>
      </c>
      <c r="V81" s="7">
        <f t="shared" si="8"/>
        <v>5612.009237826087</v>
      </c>
      <c r="W81" s="6" t="s">
        <v>30</v>
      </c>
      <c r="X81" s="6" t="s">
        <v>24</v>
      </c>
      <c r="Y81" s="6" t="s">
        <v>30</v>
      </c>
      <c r="Z81" s="6" t="s">
        <v>31</v>
      </c>
      <c r="AA81" s="6"/>
      <c r="AB81" s="6"/>
      <c r="AC81" s="6"/>
      <c r="AD81" s="6"/>
      <c r="AE81" s="6" t="str">
        <f t="shared" si="7"/>
        <v/>
      </c>
      <c r="AF81" s="6"/>
    </row>
    <row r="82" spans="1:72">
      <c r="A82" s="6">
        <v>12</v>
      </c>
      <c r="B82" s="6">
        <v>12</v>
      </c>
      <c r="C82" s="6">
        <v>1340</v>
      </c>
      <c r="D82" s="6" t="s">
        <v>80</v>
      </c>
      <c r="E82" s="11" t="s">
        <v>81</v>
      </c>
      <c r="F82" s="14" t="s">
        <v>82</v>
      </c>
      <c r="G82" s="14" t="s">
        <v>83</v>
      </c>
      <c r="H82" s="14" t="s">
        <v>81</v>
      </c>
      <c r="I82" s="6" t="s">
        <v>78</v>
      </c>
      <c r="J82" s="6" t="s">
        <v>79</v>
      </c>
      <c r="K82" s="6">
        <v>3</v>
      </c>
      <c r="L82" s="6">
        <v>3</v>
      </c>
      <c r="M82" s="6" t="str" cm="1">
        <f t="array" ref="M82">_xlfn.SWITCH(L82,
1,"resident",
1.5,"resident and short-distance migrant",
2,"short-distance migrant",
2.5,"short- and long-distance migrant",
3,"long-distance migrant",
"")</f>
        <v>long-distance migrant</v>
      </c>
      <c r="N82" s="6" t="s">
        <v>64</v>
      </c>
      <c r="O82" s="6" t="s">
        <v>64</v>
      </c>
      <c r="P82" s="6"/>
      <c r="Q82" s="6" t="str">
        <f t="shared" si="9"/>
        <v>Wading birds</v>
      </c>
      <c r="R82" s="6">
        <v>2.9099307159999999</v>
      </c>
      <c r="S82" s="6">
        <v>0.36951501199999998</v>
      </c>
      <c r="T82" s="6">
        <v>0.13856812900000001</v>
      </c>
      <c r="U82" s="6">
        <f t="shared" si="6"/>
        <v>3.4180138569999996</v>
      </c>
      <c r="V82" s="7">
        <f t="shared" si="8"/>
        <v>74.30464906521739</v>
      </c>
      <c r="W82" s="6" t="s">
        <v>30</v>
      </c>
      <c r="X82" s="6" t="s">
        <v>30</v>
      </c>
      <c r="Y82" s="6" t="s">
        <v>30</v>
      </c>
      <c r="Z82" s="6" t="s">
        <v>84</v>
      </c>
      <c r="AA82" s="6"/>
      <c r="AB82" s="6"/>
      <c r="AC82" s="6"/>
      <c r="AD82" s="6"/>
      <c r="AE82" s="6" t="str">
        <f t="shared" si="7"/>
        <v/>
      </c>
      <c r="AF82" s="6"/>
    </row>
    <row r="83" spans="1:72" s="2" customFormat="1">
      <c r="A83" s="5">
        <v>11</v>
      </c>
      <c r="B83" s="5">
        <v>11</v>
      </c>
      <c r="C83" s="5">
        <v>1310</v>
      </c>
      <c r="D83" s="5" t="s">
        <v>74</v>
      </c>
      <c r="E83" s="16" t="s">
        <v>75</v>
      </c>
      <c r="F83" s="17" t="s">
        <v>76</v>
      </c>
      <c r="G83" s="17" t="s">
        <v>77</v>
      </c>
      <c r="H83" s="17" t="s">
        <v>75</v>
      </c>
      <c r="I83" s="5" t="s">
        <v>78</v>
      </c>
      <c r="J83" s="5" t="s">
        <v>79</v>
      </c>
      <c r="K83" s="5">
        <v>3</v>
      </c>
      <c r="L83" s="5"/>
      <c r="M83" s="5" t="str" cm="1">
        <f t="array" ref="M83">_xlfn.SWITCH(L83,
1,"resident",
1.5,"resident and short-distance migrant",
2,"short-distance migrant",
2.5,"short- and long-distance migrant",
3,"long-distance migrant",
"")</f>
        <v/>
      </c>
      <c r="N83" s="5" t="s">
        <v>64</v>
      </c>
      <c r="O83" s="5"/>
      <c r="P83" s="5"/>
      <c r="Q83" s="5" t="str">
        <f t="shared" si="9"/>
        <v>Wading birds</v>
      </c>
      <c r="R83" s="5">
        <v>0</v>
      </c>
      <c r="S83" s="5">
        <v>0</v>
      </c>
      <c r="T83" s="5">
        <v>0</v>
      </c>
      <c r="U83" s="5">
        <f t="shared" si="6"/>
        <v>0</v>
      </c>
      <c r="V83" s="18">
        <f t="shared" si="8"/>
        <v>0</v>
      </c>
      <c r="W83" s="5" t="s">
        <v>50</v>
      </c>
      <c r="X83" s="5" t="s">
        <v>50</v>
      </c>
      <c r="Y83" s="5" t="s">
        <v>50</v>
      </c>
      <c r="Z83" s="5" t="s">
        <v>51</v>
      </c>
      <c r="AA83" s="5" t="s">
        <v>1035</v>
      </c>
      <c r="AB83" s="5">
        <v>1</v>
      </c>
      <c r="AC83" s="5"/>
      <c r="AD83" s="5"/>
      <c r="AE83" s="5">
        <f t="shared" si="7"/>
        <v>1</v>
      </c>
      <c r="AF83" s="5"/>
      <c r="AG83" s="2">
        <v>1</v>
      </c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</row>
    <row r="84" spans="1:72" s="2" customFormat="1">
      <c r="A84" s="5">
        <v>104</v>
      </c>
      <c r="B84" s="5">
        <v>104</v>
      </c>
      <c r="C84" s="5">
        <v>6650</v>
      </c>
      <c r="D84" s="5" t="s">
        <v>475</v>
      </c>
      <c r="E84" s="16" t="s">
        <v>476</v>
      </c>
      <c r="F84" s="17" t="s">
        <v>477</v>
      </c>
      <c r="G84" s="17" t="s">
        <v>478</v>
      </c>
      <c r="H84" s="17" t="s">
        <v>476</v>
      </c>
      <c r="I84" s="5" t="s">
        <v>479</v>
      </c>
      <c r="J84" s="5" t="s">
        <v>480</v>
      </c>
      <c r="K84" s="5">
        <v>1</v>
      </c>
      <c r="L84" s="5">
        <v>1</v>
      </c>
      <c r="M84" s="5" t="str" cm="1">
        <f t="array" ref="M84">_xlfn.SWITCH(L84,
1,"resident",
1.5,"resident and short-distance migrant",
2,"short-distance migrant",
2.5,"short- and long-distance migrant",
3,"long-distance migrant",
"")</f>
        <v>resident</v>
      </c>
      <c r="N84" s="5"/>
      <c r="O84" s="5"/>
      <c r="P84" s="5"/>
      <c r="Q84" s="5"/>
      <c r="R84" s="5">
        <v>6.0046189380000001</v>
      </c>
      <c r="S84" s="5">
        <v>13.81062356</v>
      </c>
      <c r="T84" s="5">
        <v>12.7482679</v>
      </c>
      <c r="U84" s="5">
        <f t="shared" si="6"/>
        <v>32.563510397999998</v>
      </c>
      <c r="V84" s="18">
        <f t="shared" si="8"/>
        <v>707.90239995652166</v>
      </c>
      <c r="W84" s="5" t="s">
        <v>24</v>
      </c>
      <c r="X84" s="5" t="s">
        <v>24</v>
      </c>
      <c r="Y84" s="5" t="s">
        <v>30</v>
      </c>
      <c r="Z84" s="5" t="s">
        <v>31</v>
      </c>
      <c r="AA84" s="5" t="s">
        <v>1042</v>
      </c>
      <c r="AB84" s="5"/>
      <c r="AC84" s="5"/>
      <c r="AD84" s="5"/>
      <c r="AE84" s="5" t="str">
        <f t="shared" si="7"/>
        <v/>
      </c>
      <c r="AF84" s="5">
        <v>1</v>
      </c>
      <c r="AG84" s="2">
        <v>1</v>
      </c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</row>
    <row r="85" spans="1:72">
      <c r="A85" s="6">
        <v>105</v>
      </c>
      <c r="B85" s="6">
        <v>105</v>
      </c>
      <c r="C85" s="6">
        <v>6680</v>
      </c>
      <c r="D85" s="6" t="s">
        <v>481</v>
      </c>
      <c r="E85" s="11" t="s">
        <v>482</v>
      </c>
      <c r="F85" s="14" t="s">
        <v>483</v>
      </c>
      <c r="G85" s="14" t="s">
        <v>484</v>
      </c>
      <c r="H85" s="14" t="s">
        <v>482</v>
      </c>
      <c r="I85" s="6" t="s">
        <v>479</v>
      </c>
      <c r="J85" s="6" t="s">
        <v>480</v>
      </c>
      <c r="K85" s="6">
        <v>1</v>
      </c>
      <c r="L85" s="6">
        <v>2</v>
      </c>
      <c r="M85" s="6" t="str" cm="1">
        <f t="array" ref="M85">_xlfn.SWITCH(L85,
1,"resident",
1.5,"resident and short-distance migrant",
2,"short-distance migrant",
2.5,"short- and long-distance migrant",
3,"long-distance migrant",
"")</f>
        <v>short-distance migrant</v>
      </c>
      <c r="N85" s="6" t="s">
        <v>485</v>
      </c>
      <c r="O85" s="6" t="s">
        <v>485</v>
      </c>
      <c r="P85" s="6"/>
      <c r="Q85" s="6" t="str">
        <f t="shared" ref="Q85:Q116" si="10">IF(NOT(ISBLANK(P85)), P85, IF(NOT(ISBLANK(O85)), O85, N85))</f>
        <v>Columbids</v>
      </c>
      <c r="R85" s="6">
        <v>2.124711316</v>
      </c>
      <c r="S85" s="6">
        <v>12.19399538</v>
      </c>
      <c r="T85" s="6">
        <v>30.900692840000001</v>
      </c>
      <c r="U85" s="6">
        <f t="shared" si="6"/>
        <v>45.219399535999997</v>
      </c>
      <c r="V85" s="7">
        <f t="shared" si="8"/>
        <v>983.03042469565219</v>
      </c>
      <c r="W85" s="6" t="s">
        <v>24</v>
      </c>
      <c r="X85" s="6" t="s">
        <v>24</v>
      </c>
      <c r="Y85" s="6" t="s">
        <v>24</v>
      </c>
      <c r="Z85" s="6" t="s">
        <v>25</v>
      </c>
      <c r="AA85" s="6"/>
      <c r="AB85" s="6"/>
      <c r="AC85" s="6"/>
      <c r="AD85" s="6"/>
      <c r="AE85" s="6" t="str">
        <f t="shared" si="7"/>
        <v/>
      </c>
      <c r="AF85" s="6"/>
    </row>
    <row r="86" spans="1:72">
      <c r="A86" s="6">
        <v>106</v>
      </c>
      <c r="B86" s="6">
        <v>106</v>
      </c>
      <c r="C86" s="6">
        <v>6700</v>
      </c>
      <c r="D86" s="6" t="s">
        <v>486</v>
      </c>
      <c r="E86" s="11" t="s">
        <v>487</v>
      </c>
      <c r="F86" s="14" t="s">
        <v>488</v>
      </c>
      <c r="G86" s="14" t="s">
        <v>489</v>
      </c>
      <c r="H86" s="14" t="s">
        <v>487</v>
      </c>
      <c r="I86" s="6" t="s">
        <v>479</v>
      </c>
      <c r="J86" s="6" t="s">
        <v>480</v>
      </c>
      <c r="K86" s="6">
        <v>1</v>
      </c>
      <c r="L86" s="6">
        <v>1.5</v>
      </c>
      <c r="M86" s="6" t="str" cm="1">
        <f t="array" ref="M86">_xlfn.SWITCH(L86,
1,"resident",
1.5,"resident and short-distance migrant",
2,"short-distance migrant",
2.5,"short- and long-distance migrant",
3,"long-distance migrant",
"")</f>
        <v>resident and short-distance migrant</v>
      </c>
      <c r="N86" s="6" t="s">
        <v>485</v>
      </c>
      <c r="O86" s="6" t="s">
        <v>485</v>
      </c>
      <c r="P86" s="6"/>
      <c r="Q86" s="6" t="str">
        <f t="shared" si="10"/>
        <v>Columbids</v>
      </c>
      <c r="R86" s="6">
        <v>87.575057740000005</v>
      </c>
      <c r="S86" s="6">
        <v>94.872979209999997</v>
      </c>
      <c r="T86" s="6">
        <v>97.182448039999997</v>
      </c>
      <c r="U86" s="6">
        <f t="shared" si="6"/>
        <v>279.63048499000001</v>
      </c>
      <c r="V86" s="7">
        <f t="shared" si="8"/>
        <v>6078.9235867391308</v>
      </c>
      <c r="W86" s="6" t="s">
        <v>24</v>
      </c>
      <c r="X86" s="6" t="s">
        <v>24</v>
      </c>
      <c r="Y86" s="6" t="s">
        <v>24</v>
      </c>
      <c r="Z86" s="6" t="s">
        <v>25</v>
      </c>
      <c r="AA86" s="6"/>
      <c r="AB86" s="6"/>
      <c r="AC86" s="6"/>
      <c r="AD86" s="6"/>
      <c r="AE86" s="6" t="str">
        <f t="shared" si="7"/>
        <v/>
      </c>
      <c r="AF86" s="6"/>
    </row>
    <row r="87" spans="1:72" s="3" customFormat="1">
      <c r="A87" s="6">
        <v>107</v>
      </c>
      <c r="B87" s="6">
        <v>107</v>
      </c>
      <c r="C87" s="6">
        <v>6840</v>
      </c>
      <c r="D87" s="6" t="s">
        <v>490</v>
      </c>
      <c r="E87" s="11" t="s">
        <v>491</v>
      </c>
      <c r="F87" s="14" t="s">
        <v>492</v>
      </c>
      <c r="G87" s="14" t="s">
        <v>493</v>
      </c>
      <c r="H87" s="14" t="s">
        <v>491</v>
      </c>
      <c r="I87" s="6" t="s">
        <v>479</v>
      </c>
      <c r="J87" s="6" t="s">
        <v>480</v>
      </c>
      <c r="K87" s="6">
        <v>1</v>
      </c>
      <c r="L87" s="6">
        <v>1</v>
      </c>
      <c r="M87" s="6" t="str" cm="1">
        <f t="array" ref="M87">_xlfn.SWITCH(L87,
1,"resident",
1.5,"resident and short-distance migrant",
2,"short-distance migrant",
2.5,"short- and long-distance migrant",
3,"long-distance migrant",
"")</f>
        <v>resident</v>
      </c>
      <c r="N87" s="6" t="s">
        <v>485</v>
      </c>
      <c r="O87" s="6" t="s">
        <v>485</v>
      </c>
      <c r="P87" s="6"/>
      <c r="Q87" s="6" t="str">
        <f t="shared" si="10"/>
        <v>Columbids</v>
      </c>
      <c r="R87" s="6">
        <v>52.378752890000001</v>
      </c>
      <c r="S87" s="6">
        <v>71.454965360000003</v>
      </c>
      <c r="T87" s="6">
        <v>69.838337179999996</v>
      </c>
      <c r="U87" s="6">
        <f t="shared" si="6"/>
        <v>193.67205543</v>
      </c>
      <c r="V87" s="7">
        <f t="shared" si="8"/>
        <v>4210.2620745652175</v>
      </c>
      <c r="W87" s="6" t="s">
        <v>24</v>
      </c>
      <c r="X87" s="6" t="s">
        <v>24</v>
      </c>
      <c r="Y87" s="6" t="s">
        <v>30</v>
      </c>
      <c r="Z87" s="6" t="s">
        <v>31</v>
      </c>
      <c r="AA87" s="6"/>
      <c r="AB87" s="6"/>
      <c r="AC87" s="6"/>
      <c r="AD87" s="6"/>
      <c r="AE87" s="6" t="str">
        <f t="shared" si="7"/>
        <v/>
      </c>
      <c r="AF87" s="6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</row>
    <row r="88" spans="1:72">
      <c r="A88" s="6">
        <v>108</v>
      </c>
      <c r="B88" s="6">
        <v>108</v>
      </c>
      <c r="C88" s="6">
        <v>6870</v>
      </c>
      <c r="D88" s="6" t="s">
        <v>494</v>
      </c>
      <c r="E88" s="11" t="s">
        <v>495</v>
      </c>
      <c r="F88" s="14" t="s">
        <v>496</v>
      </c>
      <c r="G88" s="14" t="s">
        <v>497</v>
      </c>
      <c r="H88" s="14" t="s">
        <v>495</v>
      </c>
      <c r="I88" s="6" t="s">
        <v>479</v>
      </c>
      <c r="J88" s="6" t="s">
        <v>480</v>
      </c>
      <c r="K88" s="6">
        <v>3</v>
      </c>
      <c r="L88" s="6">
        <v>3</v>
      </c>
      <c r="M88" s="6" t="str" cm="1">
        <f t="array" ref="M88">_xlfn.SWITCH(L88,
1,"resident",
1.5,"resident and short-distance migrant",
2,"short-distance migrant",
2.5,"short- and long-distance migrant",
3,"long-distance migrant",
"")</f>
        <v>long-distance migrant</v>
      </c>
      <c r="N88" s="6" t="s">
        <v>485</v>
      </c>
      <c r="O88" s="6" t="s">
        <v>485</v>
      </c>
      <c r="P88" s="6"/>
      <c r="Q88" s="6" t="str">
        <f t="shared" si="10"/>
        <v>Columbids</v>
      </c>
      <c r="R88" s="6">
        <v>0.83140877599999996</v>
      </c>
      <c r="S88" s="6">
        <v>1.478060046</v>
      </c>
      <c r="T88" s="6">
        <v>1.478060046</v>
      </c>
      <c r="U88" s="6">
        <f t="shared" si="6"/>
        <v>3.7875288679999999</v>
      </c>
      <c r="V88" s="7">
        <f t="shared" si="8"/>
        <v>82.337584086956525</v>
      </c>
      <c r="W88" s="6" t="s">
        <v>24</v>
      </c>
      <c r="X88" s="6" t="s">
        <v>24</v>
      </c>
      <c r="Y88" s="6" t="s">
        <v>50</v>
      </c>
      <c r="Z88" s="6" t="s">
        <v>228</v>
      </c>
      <c r="AA88" s="6"/>
      <c r="AB88" s="6"/>
      <c r="AC88" s="6"/>
      <c r="AD88" s="6"/>
      <c r="AE88" s="6" t="str">
        <f t="shared" si="7"/>
        <v/>
      </c>
      <c r="AF88" s="6"/>
    </row>
    <row r="89" spans="1:72">
      <c r="A89" s="6">
        <v>119</v>
      </c>
      <c r="B89" s="6">
        <v>119</v>
      </c>
      <c r="C89" s="6">
        <v>8310</v>
      </c>
      <c r="D89" s="6" t="s">
        <v>549</v>
      </c>
      <c r="E89" s="11" t="s">
        <v>550</v>
      </c>
      <c r="F89" s="14" t="s">
        <v>551</v>
      </c>
      <c r="G89" s="14" t="s">
        <v>552</v>
      </c>
      <c r="H89" s="14" t="s">
        <v>550</v>
      </c>
      <c r="I89" s="6" t="s">
        <v>553</v>
      </c>
      <c r="J89" s="6" t="s">
        <v>554</v>
      </c>
      <c r="K89" s="6">
        <v>1</v>
      </c>
      <c r="L89" s="6">
        <v>1</v>
      </c>
      <c r="M89" s="6" t="str" cm="1">
        <f t="array" ref="M89">_xlfn.SWITCH(L89,
1,"resident",
1.5,"resident and short-distance migrant",
2,"short-distance migrant",
2.5,"short- and long-distance migrant",
3,"long-distance migrant",
"")</f>
        <v>resident</v>
      </c>
      <c r="N89" s="6"/>
      <c r="O89" s="6" t="s">
        <v>555</v>
      </c>
      <c r="P89" s="6"/>
      <c r="Q89" s="6" t="str">
        <f t="shared" si="10"/>
        <v>Kingfishers</v>
      </c>
      <c r="R89" s="6">
        <v>4.9884526559999998</v>
      </c>
      <c r="S89" s="6">
        <v>7.3903002310000003</v>
      </c>
      <c r="T89" s="6">
        <v>14.688221710000001</v>
      </c>
      <c r="U89" s="6">
        <f t="shared" si="6"/>
        <v>27.066974597000002</v>
      </c>
      <c r="V89" s="7">
        <f t="shared" si="8"/>
        <v>588.41249123913053</v>
      </c>
      <c r="W89" s="6" t="s">
        <v>24</v>
      </c>
      <c r="X89" s="6" t="s">
        <v>24</v>
      </c>
      <c r="Y89" s="6" t="s">
        <v>24</v>
      </c>
      <c r="Z89" s="6" t="s">
        <v>25</v>
      </c>
      <c r="AA89" s="6"/>
      <c r="AB89" s="6"/>
      <c r="AC89" s="6"/>
      <c r="AD89" s="6"/>
      <c r="AE89" s="6" t="str">
        <f t="shared" si="7"/>
        <v/>
      </c>
      <c r="AF89" s="6"/>
    </row>
    <row r="90" spans="1:72" s="2" customFormat="1">
      <c r="A90" s="5">
        <v>120</v>
      </c>
      <c r="B90" s="5">
        <v>120</v>
      </c>
      <c r="C90" s="5">
        <v>8400</v>
      </c>
      <c r="D90" s="5" t="s">
        <v>556</v>
      </c>
      <c r="E90" s="16" t="s">
        <v>557</v>
      </c>
      <c r="F90" s="17" t="s">
        <v>558</v>
      </c>
      <c r="G90" s="17" t="s">
        <v>559</v>
      </c>
      <c r="H90" s="17" t="s">
        <v>557</v>
      </c>
      <c r="I90" s="5" t="s">
        <v>560</v>
      </c>
      <c r="J90" s="5" t="s">
        <v>554</v>
      </c>
      <c r="K90" s="5">
        <v>3</v>
      </c>
      <c r="L90" s="5">
        <v>3</v>
      </c>
      <c r="M90" s="5" t="str" cm="1">
        <f t="array" ref="M90">_xlfn.SWITCH(L90,
1,"resident",
1.5,"resident and short-distance migrant",
2,"short-distance migrant",
2.5,"short- and long-distance migrant",
3,"long-distance migrant",
"")</f>
        <v>long-distance migrant</v>
      </c>
      <c r="N90" s="5"/>
      <c r="O90" s="5"/>
      <c r="P90" s="5" t="s">
        <v>1054</v>
      </c>
      <c r="Q90" s="5" t="str">
        <f t="shared" si="10"/>
        <v>Beeeaters</v>
      </c>
      <c r="R90" s="5">
        <v>4.6189375999999997E-2</v>
      </c>
      <c r="S90" s="5">
        <v>0</v>
      </c>
      <c r="T90" s="5">
        <v>0.13856812900000001</v>
      </c>
      <c r="U90" s="5">
        <f t="shared" si="6"/>
        <v>0.18475750500000002</v>
      </c>
      <c r="V90" s="18">
        <f t="shared" si="8"/>
        <v>4.0164675000000001</v>
      </c>
      <c r="W90" s="5" t="s">
        <v>24</v>
      </c>
      <c r="X90" s="5" t="s">
        <v>30</v>
      </c>
      <c r="Y90" s="5" t="s">
        <v>24</v>
      </c>
      <c r="Z90" s="5" t="s">
        <v>164</v>
      </c>
      <c r="AA90" s="5" t="s">
        <v>1045</v>
      </c>
      <c r="AB90" s="5"/>
      <c r="AC90" s="5"/>
      <c r="AD90" s="5">
        <v>1</v>
      </c>
      <c r="AE90" s="5">
        <f t="shared" si="7"/>
        <v>1</v>
      </c>
      <c r="AF90" s="5"/>
      <c r="AG90" s="2">
        <v>1</v>
      </c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</row>
    <row r="91" spans="1:72">
      <c r="A91" s="6">
        <v>109</v>
      </c>
      <c r="B91" s="6">
        <v>109</v>
      </c>
      <c r="C91" s="6">
        <v>7240</v>
      </c>
      <c r="D91" s="6" t="s">
        <v>498</v>
      </c>
      <c r="E91" s="11" t="s">
        <v>499</v>
      </c>
      <c r="F91" s="14" t="s">
        <v>500</v>
      </c>
      <c r="G91" s="14" t="s">
        <v>501</v>
      </c>
      <c r="H91" s="14" t="s">
        <v>499</v>
      </c>
      <c r="I91" s="6" t="s">
        <v>502</v>
      </c>
      <c r="J91" s="6" t="s">
        <v>503</v>
      </c>
      <c r="K91" s="6">
        <v>3</v>
      </c>
      <c r="L91" s="6">
        <v>3</v>
      </c>
      <c r="M91" s="6" t="str" cm="1">
        <f t="array" ref="M91">_xlfn.SWITCH(L91,
1,"resident",
1.5,"resident and short-distance migrant",
2,"short-distance migrant",
2.5,"short- and long-distance migrant",
3,"long-distance migrant",
"")</f>
        <v>long-distance migrant</v>
      </c>
      <c r="N91" s="6"/>
      <c r="O91" s="6" t="s">
        <v>504</v>
      </c>
      <c r="P91" s="6"/>
      <c r="Q91" s="6" t="str">
        <f t="shared" si="10"/>
        <v>Cuckoos</v>
      </c>
      <c r="R91" s="6">
        <v>77.875288679999997</v>
      </c>
      <c r="S91" s="6">
        <v>84.942263280000006</v>
      </c>
      <c r="T91" s="6">
        <v>84.064665129999995</v>
      </c>
      <c r="U91" s="6">
        <f t="shared" si="6"/>
        <v>246.88221708999998</v>
      </c>
      <c r="V91" s="7">
        <f t="shared" si="8"/>
        <v>5367.0047193478258</v>
      </c>
      <c r="W91" s="6" t="s">
        <v>24</v>
      </c>
      <c r="X91" s="6" t="s">
        <v>24</v>
      </c>
      <c r="Y91" s="6" t="s">
        <v>30</v>
      </c>
      <c r="Z91" s="6" t="s">
        <v>31</v>
      </c>
      <c r="AA91" s="6"/>
      <c r="AB91" s="6"/>
      <c r="AC91" s="6"/>
      <c r="AD91" s="6"/>
      <c r="AE91" s="6" t="str">
        <f t="shared" si="7"/>
        <v/>
      </c>
      <c r="AF91" s="6"/>
    </row>
    <row r="92" spans="1:72">
      <c r="A92" s="6">
        <v>54</v>
      </c>
      <c r="B92" s="6">
        <v>54</v>
      </c>
      <c r="C92" s="6">
        <v>3200</v>
      </c>
      <c r="D92" s="6" t="s">
        <v>260</v>
      </c>
      <c r="E92" s="11" t="s">
        <v>261</v>
      </c>
      <c r="F92" s="14" t="s">
        <v>262</v>
      </c>
      <c r="G92" s="14" t="s">
        <v>263</v>
      </c>
      <c r="H92" s="14" t="s">
        <v>261</v>
      </c>
      <c r="I92" s="6" t="s">
        <v>254</v>
      </c>
      <c r="J92" s="6" t="s">
        <v>255</v>
      </c>
      <c r="K92" s="6">
        <v>2</v>
      </c>
      <c r="L92" s="6">
        <v>1.5</v>
      </c>
      <c r="M92" s="6" t="str" cm="1">
        <f t="array" ref="M92">_xlfn.SWITCH(L92,
1,"resident",
1.5,"resident and short-distance migrant",
2,"short-distance migrant",
2.5,"short- and long-distance migrant",
3,"long-distance migrant",
"")</f>
        <v>resident and short-distance migrant</v>
      </c>
      <c r="N92" s="6"/>
      <c r="O92" s="6" t="s">
        <v>207</v>
      </c>
      <c r="P92" s="6"/>
      <c r="Q92" s="6" t="str">
        <f t="shared" si="10"/>
        <v>Diurnal raptors</v>
      </c>
      <c r="R92" s="6">
        <v>4.6189375999999997E-2</v>
      </c>
      <c r="S92" s="6">
        <v>0</v>
      </c>
      <c r="T92" s="6">
        <v>0.64665127</v>
      </c>
      <c r="U92" s="6">
        <f t="shared" si="6"/>
        <v>0.69284064599999995</v>
      </c>
      <c r="V92" s="7">
        <f t="shared" si="8"/>
        <v>15.061753173913043</v>
      </c>
      <c r="W92" s="6" t="s">
        <v>24</v>
      </c>
      <c r="X92" s="6" t="s">
        <v>30</v>
      </c>
      <c r="Y92" s="6" t="s">
        <v>24</v>
      </c>
      <c r="Z92" s="6" t="s">
        <v>164</v>
      </c>
      <c r="AA92" s="6"/>
      <c r="AB92" s="6"/>
      <c r="AC92" s="6"/>
      <c r="AD92" s="6"/>
      <c r="AE92" s="6" t="str">
        <f t="shared" si="7"/>
        <v/>
      </c>
      <c r="AF92" s="6"/>
    </row>
    <row r="93" spans="1:72">
      <c r="A93" s="6">
        <v>53</v>
      </c>
      <c r="B93" s="6">
        <v>53</v>
      </c>
      <c r="C93" s="6">
        <v>3100</v>
      </c>
      <c r="D93" s="6" t="s">
        <v>256</v>
      </c>
      <c r="E93" s="11" t="s">
        <v>257</v>
      </c>
      <c r="F93" s="14" t="s">
        <v>258</v>
      </c>
      <c r="G93" s="14" t="s">
        <v>259</v>
      </c>
      <c r="H93" s="14" t="s">
        <v>257</v>
      </c>
      <c r="I93" s="6" t="s">
        <v>254</v>
      </c>
      <c r="J93" s="6" t="s">
        <v>255</v>
      </c>
      <c r="K93" s="6">
        <v>3</v>
      </c>
      <c r="L93" s="6">
        <v>3</v>
      </c>
      <c r="M93" s="6" t="str" cm="1">
        <f t="array" ref="M93">_xlfn.SWITCH(L93,
1,"resident",
1.5,"resident and short-distance migrant",
2,"short-distance migrant",
2.5,"short- and long-distance migrant",
3,"long-distance migrant",
"")</f>
        <v>long-distance migrant</v>
      </c>
      <c r="N93" s="6" t="s">
        <v>207</v>
      </c>
      <c r="O93" s="6" t="s">
        <v>207</v>
      </c>
      <c r="P93" s="6"/>
      <c r="Q93" s="6" t="str">
        <f t="shared" si="10"/>
        <v>Diurnal raptors</v>
      </c>
      <c r="R93" s="6">
        <v>0.36951501199999998</v>
      </c>
      <c r="S93" s="6">
        <v>0.18475750599999999</v>
      </c>
      <c r="T93" s="6">
        <v>1.2009237880000001</v>
      </c>
      <c r="U93" s="6">
        <f t="shared" si="6"/>
        <v>1.7551963060000002</v>
      </c>
      <c r="V93" s="7">
        <f t="shared" si="8"/>
        <v>38.156441434782614</v>
      </c>
      <c r="W93" s="6" t="s">
        <v>24</v>
      </c>
      <c r="X93" s="6" t="s">
        <v>30</v>
      </c>
      <c r="Y93" s="6" t="s">
        <v>24</v>
      </c>
      <c r="Z93" s="6" t="s">
        <v>164</v>
      </c>
      <c r="AA93" s="6"/>
      <c r="AB93" s="6"/>
      <c r="AC93" s="6"/>
      <c r="AD93" s="6"/>
      <c r="AE93" s="6" t="str">
        <f t="shared" si="7"/>
        <v/>
      </c>
      <c r="AF93" s="6"/>
    </row>
    <row r="94" spans="1:72">
      <c r="A94" s="6">
        <v>52</v>
      </c>
      <c r="B94" s="6">
        <v>52</v>
      </c>
      <c r="C94" s="6">
        <v>3040</v>
      </c>
      <c r="D94" s="6" t="s">
        <v>250</v>
      </c>
      <c r="E94" s="11" t="s">
        <v>251</v>
      </c>
      <c r="F94" s="14" t="s">
        <v>252</v>
      </c>
      <c r="G94" s="14" t="s">
        <v>253</v>
      </c>
      <c r="H94" s="14" t="s">
        <v>251</v>
      </c>
      <c r="I94" s="6" t="s">
        <v>254</v>
      </c>
      <c r="J94" s="6" t="s">
        <v>255</v>
      </c>
      <c r="K94" s="6">
        <v>3</v>
      </c>
      <c r="L94" s="6">
        <v>1.5</v>
      </c>
      <c r="M94" s="6" t="str" cm="1">
        <f t="array" ref="M94">_xlfn.SWITCH(L94,
1,"resident",
1.5,"resident and short-distance migrant",
2,"short-distance migrant",
2.5,"short- and long-distance migrant",
3,"long-distance migrant",
"")</f>
        <v>resident and short-distance migrant</v>
      </c>
      <c r="N94" s="6"/>
      <c r="O94" s="6" t="s">
        <v>207</v>
      </c>
      <c r="P94" s="6"/>
      <c r="Q94" s="6" t="str">
        <f t="shared" si="10"/>
        <v>Diurnal raptors</v>
      </c>
      <c r="R94" s="6">
        <v>35.427251730000002</v>
      </c>
      <c r="S94" s="6">
        <v>58.106235570000003</v>
      </c>
      <c r="T94" s="6">
        <v>51.732101620000002</v>
      </c>
      <c r="U94" s="6">
        <f t="shared" si="6"/>
        <v>145.26558892</v>
      </c>
      <c r="V94" s="7">
        <f t="shared" si="8"/>
        <v>3157.9475852173914</v>
      </c>
      <c r="W94" s="6" t="s">
        <v>24</v>
      </c>
      <c r="X94" s="6" t="s">
        <v>24</v>
      </c>
      <c r="Y94" s="6" t="s">
        <v>30</v>
      </c>
      <c r="Z94" s="6" t="s">
        <v>31</v>
      </c>
      <c r="AA94" s="6"/>
      <c r="AB94" s="6"/>
      <c r="AC94" s="6"/>
      <c r="AD94" s="6"/>
      <c r="AE94" s="6" t="str">
        <f t="shared" si="7"/>
        <v/>
      </c>
      <c r="AF94" s="6"/>
    </row>
    <row r="95" spans="1:72" s="3" customFormat="1">
      <c r="A95" s="6">
        <v>57</v>
      </c>
      <c r="B95" s="6">
        <v>57</v>
      </c>
      <c r="C95" s="6">
        <v>3700</v>
      </c>
      <c r="D95" s="6" t="s">
        <v>275</v>
      </c>
      <c r="E95" s="11" t="s">
        <v>276</v>
      </c>
      <c r="F95" s="14" t="s">
        <v>277</v>
      </c>
      <c r="G95" s="14" t="s">
        <v>278</v>
      </c>
      <c r="H95" s="14" t="s">
        <v>276</v>
      </c>
      <c r="I95" s="6" t="s">
        <v>268</v>
      </c>
      <c r="J95" s="6" t="s">
        <v>269</v>
      </c>
      <c r="K95" s="6">
        <v>3</v>
      </c>
      <c r="L95" s="6">
        <v>2.5</v>
      </c>
      <c r="M95" s="6" t="str" cm="1">
        <f t="array" ref="M95">_xlfn.SWITCH(L95,
1,"resident",
1.5,"resident and short-distance migrant",
2,"short-distance migrant",
2.5,"short- and long-distance migrant",
3,"long-distance migrant",
"")</f>
        <v>short- and long-distance migrant</v>
      </c>
      <c r="N95" s="6" t="s">
        <v>270</v>
      </c>
      <c r="O95" s="6" t="s">
        <v>270</v>
      </c>
      <c r="P95" s="6"/>
      <c r="Q95" s="6" t="str">
        <f t="shared" si="10"/>
        <v>Gallinaceous birds</v>
      </c>
      <c r="R95" s="6">
        <v>1.6628175519999999</v>
      </c>
      <c r="S95" s="6">
        <v>5.3579676669999996</v>
      </c>
      <c r="T95" s="6">
        <v>32.424942260000002</v>
      </c>
      <c r="U95" s="6">
        <f t="shared" si="6"/>
        <v>39.445727478999999</v>
      </c>
      <c r="V95" s="7">
        <f t="shared" si="8"/>
        <v>857.5158147608696</v>
      </c>
      <c r="W95" s="6" t="s">
        <v>24</v>
      </c>
      <c r="X95" s="6" t="s">
        <v>24</v>
      </c>
      <c r="Y95" s="6" t="s">
        <v>24</v>
      </c>
      <c r="Z95" s="6" t="s">
        <v>25</v>
      </c>
      <c r="AA95" s="6"/>
      <c r="AB95" s="6"/>
      <c r="AC95" s="6"/>
      <c r="AD95" s="6"/>
      <c r="AE95" s="6" t="str">
        <f t="shared" si="7"/>
        <v/>
      </c>
      <c r="AF95" s="6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</row>
    <row r="96" spans="1:72">
      <c r="A96" s="6">
        <v>55</v>
      </c>
      <c r="B96" s="6">
        <v>55</v>
      </c>
      <c r="C96" s="6">
        <v>3320</v>
      </c>
      <c r="D96" s="6" t="s">
        <v>264</v>
      </c>
      <c r="E96" s="11" t="s">
        <v>265</v>
      </c>
      <c r="F96" s="14" t="s">
        <v>266</v>
      </c>
      <c r="G96" s="14" t="s">
        <v>267</v>
      </c>
      <c r="H96" s="14" t="s">
        <v>265</v>
      </c>
      <c r="I96" s="6" t="s">
        <v>268</v>
      </c>
      <c r="J96" s="6" t="s">
        <v>269</v>
      </c>
      <c r="K96" s="6">
        <v>1</v>
      </c>
      <c r="L96" s="6">
        <v>1</v>
      </c>
      <c r="M96" s="6" t="str" cm="1">
        <f t="array" ref="M96">_xlfn.SWITCH(L96,
1,"resident",
1.5,"resident and short-distance migrant",
2,"short-distance migrant",
2.5,"short- and long-distance migrant",
3,"long-distance migrant",
"")</f>
        <v>resident</v>
      </c>
      <c r="N96" s="6" t="s">
        <v>270</v>
      </c>
      <c r="O96" s="6"/>
      <c r="P96" s="6"/>
      <c r="Q96" s="6" t="str">
        <f t="shared" si="10"/>
        <v>Gallinaceous birds</v>
      </c>
      <c r="R96" s="6">
        <v>3.0023094690000001</v>
      </c>
      <c r="S96" s="6">
        <v>4.6189375999999997E-2</v>
      </c>
      <c r="T96" s="6">
        <v>0</v>
      </c>
      <c r="U96" s="6">
        <f t="shared" si="6"/>
        <v>3.0484988450000001</v>
      </c>
      <c r="V96" s="7">
        <f t="shared" si="8"/>
        <v>66.271714021739129</v>
      </c>
      <c r="W96" s="6" t="s">
        <v>30</v>
      </c>
      <c r="X96" s="6" t="s">
        <v>30</v>
      </c>
      <c r="Y96" s="6" t="s">
        <v>30</v>
      </c>
      <c r="Z96" s="6" t="s">
        <v>84</v>
      </c>
      <c r="AA96" s="6"/>
      <c r="AB96" s="6"/>
      <c r="AC96" s="6"/>
      <c r="AD96" s="6"/>
      <c r="AE96" s="6" t="str">
        <f t="shared" si="7"/>
        <v/>
      </c>
      <c r="AF96" s="6"/>
    </row>
    <row r="97" spans="1:72">
      <c r="A97" s="6">
        <v>56</v>
      </c>
      <c r="B97" s="6">
        <v>56</v>
      </c>
      <c r="C97" s="6">
        <v>3670</v>
      </c>
      <c r="D97" s="6" t="s">
        <v>271</v>
      </c>
      <c r="E97" s="11" t="s">
        <v>272</v>
      </c>
      <c r="F97" s="14" t="s">
        <v>273</v>
      </c>
      <c r="G97" s="14" t="s">
        <v>274</v>
      </c>
      <c r="H97" s="14" t="s">
        <v>272</v>
      </c>
      <c r="I97" s="6" t="s">
        <v>268</v>
      </c>
      <c r="J97" s="6" t="s">
        <v>269</v>
      </c>
      <c r="K97" s="6">
        <v>1</v>
      </c>
      <c r="L97" s="6">
        <v>1</v>
      </c>
      <c r="M97" s="6" t="str" cm="1">
        <f t="array" ref="M97">_xlfn.SWITCH(L97,
1,"resident",
1.5,"resident and short-distance migrant",
2,"short-distance migrant",
2.5,"short- and long-distance migrant",
3,"long-distance migrant",
"")</f>
        <v>resident</v>
      </c>
      <c r="N97" s="6"/>
      <c r="O97" s="6" t="s">
        <v>270</v>
      </c>
      <c r="P97" s="6"/>
      <c r="Q97" s="6" t="str">
        <f t="shared" si="10"/>
        <v>Gallinaceous birds</v>
      </c>
      <c r="R97" s="6">
        <v>62.170900690000003</v>
      </c>
      <c r="S97" s="6">
        <v>70.900692840000005</v>
      </c>
      <c r="T97" s="6">
        <v>38.845265589999997</v>
      </c>
      <c r="U97" s="6">
        <f t="shared" si="6"/>
        <v>171.91685912</v>
      </c>
      <c r="V97" s="7">
        <f t="shared" si="8"/>
        <v>3737.323024347826</v>
      </c>
      <c r="W97" s="6" t="s">
        <v>30</v>
      </c>
      <c r="X97" s="6" t="s">
        <v>24</v>
      </c>
      <c r="Y97" s="6" t="s">
        <v>30</v>
      </c>
      <c r="Z97" s="6" t="s">
        <v>31</v>
      </c>
      <c r="AA97" s="6"/>
      <c r="AB97" s="6"/>
      <c r="AC97" s="6"/>
      <c r="AD97" s="6"/>
      <c r="AE97" s="6" t="str">
        <f t="shared" si="7"/>
        <v/>
      </c>
      <c r="AF97" s="6"/>
    </row>
    <row r="98" spans="1:72" s="2" customFormat="1">
      <c r="A98" s="5">
        <v>58</v>
      </c>
      <c r="B98" s="5">
        <v>58</v>
      </c>
      <c r="C98" s="5">
        <v>3940</v>
      </c>
      <c r="D98" s="5" t="s">
        <v>279</v>
      </c>
      <c r="E98" s="16" t="s">
        <v>280</v>
      </c>
      <c r="F98" s="17" t="s">
        <v>281</v>
      </c>
      <c r="G98" s="17" t="s">
        <v>282</v>
      </c>
      <c r="H98" s="17" t="s">
        <v>280</v>
      </c>
      <c r="I98" s="5" t="s">
        <v>268</v>
      </c>
      <c r="J98" s="5" t="s">
        <v>269</v>
      </c>
      <c r="K98" s="5">
        <v>1</v>
      </c>
      <c r="L98" s="5">
        <v>1</v>
      </c>
      <c r="M98" s="5" t="str" cm="1">
        <f t="array" ref="M98">_xlfn.SWITCH(L98,
1,"resident",
1.5,"resident and short-distance migrant",
2,"short-distance migrant",
2.5,"short- and long-distance migrant",
3,"long-distance migrant",
"")</f>
        <v>resident</v>
      </c>
      <c r="N98" s="5"/>
      <c r="O98" s="5" t="s">
        <v>270</v>
      </c>
      <c r="P98" s="5"/>
      <c r="Q98" s="5" t="str">
        <f t="shared" si="10"/>
        <v>Gallinaceous birds</v>
      </c>
      <c r="R98" s="5">
        <v>74.642032330000006</v>
      </c>
      <c r="S98" s="5">
        <v>87.806004619999996</v>
      </c>
      <c r="T98" s="5">
        <v>81.616628180000006</v>
      </c>
      <c r="U98" s="5">
        <f t="shared" si="6"/>
        <v>244.06466513000004</v>
      </c>
      <c r="V98" s="18">
        <f t="shared" si="8"/>
        <v>5305.7535897826092</v>
      </c>
      <c r="W98" s="5" t="s">
        <v>24</v>
      </c>
      <c r="X98" s="5" t="s">
        <v>24</v>
      </c>
      <c r="Y98" s="5" t="s">
        <v>30</v>
      </c>
      <c r="Z98" s="5" t="s">
        <v>31</v>
      </c>
      <c r="AA98" s="5" t="s">
        <v>1037</v>
      </c>
      <c r="AB98" s="5"/>
      <c r="AC98" s="5">
        <v>1</v>
      </c>
      <c r="AD98" s="5"/>
      <c r="AE98" s="5" t="str">
        <f t="shared" si="7"/>
        <v/>
      </c>
      <c r="AF98" s="5"/>
      <c r="AG98" s="2">
        <v>1</v>
      </c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</row>
    <row r="99" spans="1:72">
      <c r="A99" s="6">
        <v>61</v>
      </c>
      <c r="B99" s="6">
        <v>61</v>
      </c>
      <c r="C99" s="6">
        <v>4210</v>
      </c>
      <c r="D99" s="6" t="s">
        <v>294</v>
      </c>
      <c r="E99" s="11" t="s">
        <v>295</v>
      </c>
      <c r="F99" s="14" t="s">
        <v>296</v>
      </c>
      <c r="G99" s="14" t="s">
        <v>297</v>
      </c>
      <c r="H99" s="14" t="s">
        <v>295</v>
      </c>
      <c r="I99" s="6" t="s">
        <v>287</v>
      </c>
      <c r="J99" s="6" t="s">
        <v>288</v>
      </c>
      <c r="K99" s="6">
        <v>3</v>
      </c>
      <c r="L99" s="6">
        <v>3</v>
      </c>
      <c r="M99" s="6" t="str" cm="1">
        <f t="array" ref="M99">_xlfn.SWITCH(L99,
1,"resident",
1.5,"resident and short-distance migrant",
2,"short-distance migrant",
2.5,"short- and long-distance migrant",
3,"long-distance migrant",
"")</f>
        <v>long-distance migrant</v>
      </c>
      <c r="N99" s="6"/>
      <c r="O99" s="6" t="s">
        <v>289</v>
      </c>
      <c r="P99" s="6"/>
      <c r="Q99" s="6" t="str">
        <f t="shared" si="10"/>
        <v>Rails</v>
      </c>
      <c r="R99" s="6">
        <v>3.9722863739999998</v>
      </c>
      <c r="S99" s="6">
        <v>0.55427251700000002</v>
      </c>
      <c r="T99" s="6">
        <v>7.6212471129999999</v>
      </c>
      <c r="U99" s="6">
        <f t="shared" si="6"/>
        <v>12.147806004</v>
      </c>
      <c r="V99" s="7">
        <f t="shared" si="8"/>
        <v>264.08273921739129</v>
      </c>
      <c r="W99" s="6" t="s">
        <v>24</v>
      </c>
      <c r="X99" s="6" t="s">
        <v>30</v>
      </c>
      <c r="Y99" s="6" t="s">
        <v>24</v>
      </c>
      <c r="Z99" s="6" t="s">
        <v>164</v>
      </c>
      <c r="AA99" s="6"/>
      <c r="AB99" s="6"/>
      <c r="AC99" s="6"/>
      <c r="AD99" s="6"/>
      <c r="AE99" s="6" t="str">
        <f t="shared" si="7"/>
        <v/>
      </c>
      <c r="AF99" s="6"/>
    </row>
    <row r="100" spans="1:72">
      <c r="A100" s="6">
        <v>63</v>
      </c>
      <c r="B100" s="6">
        <v>63</v>
      </c>
      <c r="C100" s="6">
        <v>4290</v>
      </c>
      <c r="D100" s="6" t="s">
        <v>302</v>
      </c>
      <c r="E100" s="11" t="s">
        <v>303</v>
      </c>
      <c r="F100" s="14" t="s">
        <v>304</v>
      </c>
      <c r="G100" s="14" t="s">
        <v>305</v>
      </c>
      <c r="H100" s="14" t="s">
        <v>303</v>
      </c>
      <c r="I100" s="6" t="s">
        <v>287</v>
      </c>
      <c r="J100" s="6" t="s">
        <v>288</v>
      </c>
      <c r="K100" s="6">
        <v>1</v>
      </c>
      <c r="L100" s="6">
        <v>1.5</v>
      </c>
      <c r="M100" s="6" t="str" cm="1">
        <f t="array" ref="M100">_xlfn.SWITCH(L100,
1,"resident",
1.5,"resident and short-distance migrant",
2,"short-distance migrant",
2.5,"short- and long-distance migrant",
3,"long-distance migrant",
"")</f>
        <v>resident and short-distance migrant</v>
      </c>
      <c r="N100" s="6" t="s">
        <v>289</v>
      </c>
      <c r="O100" s="6" t="s">
        <v>289</v>
      </c>
      <c r="P100" s="6"/>
      <c r="Q100" s="6" t="str">
        <f t="shared" si="10"/>
        <v>Rails</v>
      </c>
      <c r="R100" s="6">
        <v>60.877598149999997</v>
      </c>
      <c r="S100" s="6">
        <v>78.475750579999996</v>
      </c>
      <c r="T100" s="6">
        <v>61.939953809999999</v>
      </c>
      <c r="U100" s="6">
        <f t="shared" si="6"/>
        <v>201.29330253999998</v>
      </c>
      <c r="V100" s="7">
        <f t="shared" si="8"/>
        <v>4375.9413595652168</v>
      </c>
      <c r="W100" s="6" t="s">
        <v>24</v>
      </c>
      <c r="X100" s="6" t="s">
        <v>24</v>
      </c>
      <c r="Y100" s="6" t="s">
        <v>30</v>
      </c>
      <c r="Z100" s="6" t="s">
        <v>31</v>
      </c>
      <c r="AA100" s="6"/>
      <c r="AB100" s="6"/>
      <c r="AC100" s="6"/>
      <c r="AD100" s="6"/>
      <c r="AE100" s="6" t="str">
        <f t="shared" si="7"/>
        <v/>
      </c>
      <c r="AF100" s="6"/>
    </row>
    <row r="101" spans="1:72" s="3" customFormat="1">
      <c r="A101" s="6">
        <v>62</v>
      </c>
      <c r="B101" s="6">
        <v>62</v>
      </c>
      <c r="C101" s="6">
        <v>4240</v>
      </c>
      <c r="D101" s="6" t="s">
        <v>298</v>
      </c>
      <c r="E101" s="11" t="s">
        <v>299</v>
      </c>
      <c r="F101" s="14" t="s">
        <v>300</v>
      </c>
      <c r="G101" s="14" t="s">
        <v>301</v>
      </c>
      <c r="H101" s="14" t="s">
        <v>299</v>
      </c>
      <c r="I101" s="6" t="s">
        <v>287</v>
      </c>
      <c r="J101" s="6" t="s">
        <v>288</v>
      </c>
      <c r="K101" s="6">
        <v>1</v>
      </c>
      <c r="L101" s="6">
        <v>1.5</v>
      </c>
      <c r="M101" s="6" t="str" cm="1">
        <f t="array" ref="M101">_xlfn.SWITCH(L101,
1,"resident",
1.5,"resident and short-distance migrant",
2,"short-distance migrant",
2.5,"short- and long-distance migrant",
3,"long-distance migrant",
"")</f>
        <v>resident and short-distance migrant</v>
      </c>
      <c r="N101" s="6" t="s">
        <v>289</v>
      </c>
      <c r="O101" s="6" t="s">
        <v>289</v>
      </c>
      <c r="P101" s="6"/>
      <c r="Q101" s="6" t="str">
        <f t="shared" si="10"/>
        <v>Rails</v>
      </c>
      <c r="R101" s="6">
        <v>62.03233256</v>
      </c>
      <c r="S101" s="6">
        <v>64.896073900000005</v>
      </c>
      <c r="T101" s="6">
        <v>56.397228640000002</v>
      </c>
      <c r="U101" s="6">
        <f t="shared" si="6"/>
        <v>183.3256351</v>
      </c>
      <c r="V101" s="7">
        <f t="shared" si="8"/>
        <v>3985.3398934782608</v>
      </c>
      <c r="W101" s="6" t="s">
        <v>30</v>
      </c>
      <c r="X101" s="6" t="s">
        <v>24</v>
      </c>
      <c r="Y101" s="6" t="s">
        <v>30</v>
      </c>
      <c r="Z101" s="6" t="s">
        <v>31</v>
      </c>
      <c r="AA101" s="6"/>
      <c r="AB101" s="6"/>
      <c r="AC101" s="6"/>
      <c r="AD101" s="6"/>
      <c r="AE101" s="6" t="str">
        <f t="shared" si="7"/>
        <v/>
      </c>
      <c r="AF101" s="6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</row>
    <row r="102" spans="1:72" s="3" customFormat="1">
      <c r="A102" s="6">
        <v>64</v>
      </c>
      <c r="B102" s="6">
        <v>64</v>
      </c>
      <c r="C102" s="6">
        <v>4330</v>
      </c>
      <c r="D102" s="6" t="s">
        <v>306</v>
      </c>
      <c r="E102" s="11" t="s">
        <v>307</v>
      </c>
      <c r="F102" s="14" t="s">
        <v>308</v>
      </c>
      <c r="G102" s="14" t="s">
        <v>309</v>
      </c>
      <c r="H102" s="14" t="s">
        <v>307</v>
      </c>
      <c r="I102" s="6" t="s">
        <v>310</v>
      </c>
      <c r="J102" s="6" t="s">
        <v>288</v>
      </c>
      <c r="K102" s="6">
        <v>3</v>
      </c>
      <c r="L102" s="6">
        <v>1.5</v>
      </c>
      <c r="M102" s="6" t="str" cm="1">
        <f t="array" ref="M102">_xlfn.SWITCH(L102,
1,"resident",
1.5,"resident and short-distance migrant",
2,"short-distance migrant",
2.5,"short- and long-distance migrant",
3,"long-distance migrant",
"")</f>
        <v>resident and short-distance migrant</v>
      </c>
      <c r="N102" s="6" t="s">
        <v>64</v>
      </c>
      <c r="O102" s="6" t="s">
        <v>64</v>
      </c>
      <c r="P102" s="6"/>
      <c r="Q102" s="6" t="str">
        <f t="shared" si="10"/>
        <v>Wading birds</v>
      </c>
      <c r="R102" s="6">
        <v>0.13856812900000001</v>
      </c>
      <c r="S102" s="6">
        <v>0.64665127</v>
      </c>
      <c r="T102" s="6">
        <v>12.147805999999999</v>
      </c>
      <c r="U102" s="6">
        <f t="shared" si="6"/>
        <v>12.933025399</v>
      </c>
      <c r="V102" s="7">
        <f t="shared" si="8"/>
        <v>281.15272606521739</v>
      </c>
      <c r="W102" s="6" t="s">
        <v>24</v>
      </c>
      <c r="X102" s="6" t="s">
        <v>24</v>
      </c>
      <c r="Y102" s="6" t="s">
        <v>24</v>
      </c>
      <c r="Z102" s="6" t="s">
        <v>25</v>
      </c>
      <c r="AA102" s="6"/>
      <c r="AB102" s="6"/>
      <c r="AC102" s="6"/>
      <c r="AD102" s="6"/>
      <c r="AE102" s="6" t="str">
        <f t="shared" si="7"/>
        <v/>
      </c>
      <c r="AF102" s="6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</row>
    <row r="103" spans="1:72" s="3" customFormat="1">
      <c r="A103" s="6">
        <v>60</v>
      </c>
      <c r="B103" s="6">
        <v>60</v>
      </c>
      <c r="C103" s="6">
        <v>4080</v>
      </c>
      <c r="D103" s="6" t="s">
        <v>290</v>
      </c>
      <c r="E103" s="11" t="s">
        <v>291</v>
      </c>
      <c r="F103" s="14" t="s">
        <v>292</v>
      </c>
      <c r="G103" s="14" t="s">
        <v>293</v>
      </c>
      <c r="H103" s="14" t="s">
        <v>291</v>
      </c>
      <c r="I103" s="6" t="s">
        <v>287</v>
      </c>
      <c r="J103" s="6" t="s">
        <v>288</v>
      </c>
      <c r="K103" s="6">
        <v>3</v>
      </c>
      <c r="L103" s="6">
        <v>3</v>
      </c>
      <c r="M103" s="6" t="str" cm="1">
        <f t="array" ref="M103">_xlfn.SWITCH(L103,
1,"resident",
1.5,"resident and short-distance migrant",
2,"short-distance migrant",
2.5,"short- and long-distance migrant",
3,"long-distance migrant",
"")</f>
        <v>long-distance migrant</v>
      </c>
      <c r="N103" s="6" t="s">
        <v>289</v>
      </c>
      <c r="O103" s="6" t="s">
        <v>289</v>
      </c>
      <c r="P103" s="6"/>
      <c r="Q103" s="6" t="str">
        <f t="shared" si="10"/>
        <v>Rails</v>
      </c>
      <c r="R103" s="6">
        <v>2.6327944570000001</v>
      </c>
      <c r="S103" s="6">
        <v>1.154734411</v>
      </c>
      <c r="T103" s="6">
        <v>3.7875288679999999</v>
      </c>
      <c r="U103" s="6">
        <f t="shared" si="6"/>
        <v>7.5750577359999998</v>
      </c>
      <c r="V103" s="7">
        <f t="shared" si="8"/>
        <v>164.67516817391305</v>
      </c>
      <c r="W103" s="6" t="s">
        <v>24</v>
      </c>
      <c r="X103" s="6" t="s">
        <v>30</v>
      </c>
      <c r="Y103" s="6" t="s">
        <v>24</v>
      </c>
      <c r="Z103" s="6" t="s">
        <v>164</v>
      </c>
      <c r="AA103" s="6"/>
      <c r="AB103" s="6"/>
      <c r="AC103" s="6"/>
      <c r="AD103" s="6"/>
      <c r="AE103" s="6" t="str">
        <f t="shared" si="7"/>
        <v/>
      </c>
      <c r="AF103" s="6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</row>
    <row r="104" spans="1:72">
      <c r="A104" s="6">
        <v>59</v>
      </c>
      <c r="B104" s="6">
        <v>59</v>
      </c>
      <c r="C104" s="6">
        <v>4070</v>
      </c>
      <c r="D104" s="6" t="s">
        <v>283</v>
      </c>
      <c r="E104" s="11" t="s">
        <v>284</v>
      </c>
      <c r="F104" s="14" t="s">
        <v>285</v>
      </c>
      <c r="G104" s="14" t="s">
        <v>286</v>
      </c>
      <c r="H104" s="14" t="s">
        <v>284</v>
      </c>
      <c r="I104" s="6" t="s">
        <v>287</v>
      </c>
      <c r="J104" s="6" t="s">
        <v>288</v>
      </c>
      <c r="K104" s="6">
        <v>2</v>
      </c>
      <c r="L104" s="6">
        <v>1.5</v>
      </c>
      <c r="M104" s="6" t="str" cm="1">
        <f t="array" ref="M104">_xlfn.SWITCH(L104,
1,"resident",
1.5,"resident and short-distance migrant",
2,"short-distance migrant",
2.5,"short- and long-distance migrant",
3,"long-distance migrant",
"")</f>
        <v>resident and short-distance migrant</v>
      </c>
      <c r="N104" s="6" t="s">
        <v>289</v>
      </c>
      <c r="O104" s="6" t="s">
        <v>289</v>
      </c>
      <c r="P104" s="6"/>
      <c r="Q104" s="6" t="str">
        <f t="shared" si="10"/>
        <v>Rails</v>
      </c>
      <c r="R104" s="6">
        <v>11.31639723</v>
      </c>
      <c r="S104" s="6">
        <v>19.815242489999999</v>
      </c>
      <c r="T104" s="6">
        <v>28.914549650000001</v>
      </c>
      <c r="U104" s="6">
        <f t="shared" si="6"/>
        <v>60.04618937</v>
      </c>
      <c r="V104" s="7">
        <f t="shared" si="8"/>
        <v>1305.351942826087</v>
      </c>
      <c r="W104" s="6" t="s">
        <v>24</v>
      </c>
      <c r="X104" s="6" t="s">
        <v>24</v>
      </c>
      <c r="Y104" s="6" t="s">
        <v>24</v>
      </c>
      <c r="Z104" s="6" t="s">
        <v>25</v>
      </c>
      <c r="AA104" s="6"/>
      <c r="AB104" s="6"/>
      <c r="AC104" s="6"/>
      <c r="AD104" s="6"/>
      <c r="AE104" s="6" t="str">
        <f t="shared" si="7"/>
        <v/>
      </c>
      <c r="AF104" s="6"/>
    </row>
    <row r="105" spans="1:72" s="4" customFormat="1">
      <c r="A105" s="6">
        <v>218</v>
      </c>
      <c r="B105" s="6">
        <v>218</v>
      </c>
      <c r="C105" s="6">
        <v>16635</v>
      </c>
      <c r="D105" s="6" t="s">
        <v>986</v>
      </c>
      <c r="E105" s="11" t="s">
        <v>987</v>
      </c>
      <c r="F105" s="14" t="s">
        <v>988</v>
      </c>
      <c r="G105" s="14" t="s">
        <v>989</v>
      </c>
      <c r="H105" s="14" t="s">
        <v>987</v>
      </c>
      <c r="I105" s="6" t="s">
        <v>962</v>
      </c>
      <c r="J105" s="6" t="s">
        <v>599</v>
      </c>
      <c r="K105" s="6">
        <v>2</v>
      </c>
      <c r="L105" s="6">
        <v>2</v>
      </c>
      <c r="M105" s="6" t="str" cm="1">
        <f t="array" ref="M105">_xlfn.SWITCH(L105,
1,"resident",
1.5,"resident and short-distance migrant",
2,"short-distance migrant",
2.5,"short- and long-distance migrant",
3,"long-distance migrant",
"")</f>
        <v>short-distance migrant</v>
      </c>
      <c r="N105" s="6"/>
      <c r="O105" s="6" t="s">
        <v>953</v>
      </c>
      <c r="P105" s="6"/>
      <c r="Q105" s="6" t="str">
        <f t="shared" si="10"/>
        <v>Passerine seedeaters</v>
      </c>
      <c r="R105" s="6">
        <v>6.4665127020000002</v>
      </c>
      <c r="S105" s="6">
        <v>39.907621249999998</v>
      </c>
      <c r="T105" s="6">
        <v>46.65127021</v>
      </c>
      <c r="U105" s="6">
        <f t="shared" si="6"/>
        <v>93.025404162000001</v>
      </c>
      <c r="V105" s="7">
        <f t="shared" si="8"/>
        <v>2022.2913948260871</v>
      </c>
      <c r="W105" s="6" t="s">
        <v>24</v>
      </c>
      <c r="X105" s="6" t="s">
        <v>24</v>
      </c>
      <c r="Y105" s="6" t="s">
        <v>24</v>
      </c>
      <c r="Z105" s="6" t="s">
        <v>25</v>
      </c>
      <c r="AA105" s="6"/>
      <c r="AB105" s="6"/>
      <c r="AC105" s="6"/>
      <c r="AD105" s="6"/>
      <c r="AE105" s="6" t="str">
        <f t="shared" si="7"/>
        <v/>
      </c>
      <c r="AF105" s="6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</row>
    <row r="106" spans="1:72">
      <c r="A106" s="6">
        <v>168</v>
      </c>
      <c r="B106" s="6">
        <v>168</v>
      </c>
      <c r="C106" s="6">
        <v>12530</v>
      </c>
      <c r="D106" s="6" t="s">
        <v>766</v>
      </c>
      <c r="E106" s="11" t="s">
        <v>767</v>
      </c>
      <c r="F106" s="14" t="s">
        <v>768</v>
      </c>
      <c r="G106" s="14" t="s">
        <v>769</v>
      </c>
      <c r="H106" s="14" t="s">
        <v>767</v>
      </c>
      <c r="I106" s="6" t="s">
        <v>753</v>
      </c>
      <c r="J106" s="6" t="s">
        <v>599</v>
      </c>
      <c r="K106" s="6">
        <v>3</v>
      </c>
      <c r="L106" s="6">
        <v>3</v>
      </c>
      <c r="M106" s="6" t="str" cm="1">
        <f t="array" ref="M106">_xlfn.SWITCH(L106,
1,"resident",
1.5,"resident and short-distance migrant",
2,"short-distance migrant",
2.5,"short- and long-distance migrant",
3,"long-distance migrant",
"")</f>
        <v>long-distance migrant</v>
      </c>
      <c r="N106" s="6" t="s">
        <v>740</v>
      </c>
      <c r="O106" s="6"/>
      <c r="P106" s="6"/>
      <c r="Q106" s="6" t="str">
        <f t="shared" si="10"/>
        <v>Marsh warblers</v>
      </c>
      <c r="R106" s="6">
        <v>2.5866050810000001</v>
      </c>
      <c r="S106" s="6">
        <v>0.69284064700000003</v>
      </c>
      <c r="T106" s="6">
        <v>1.385681293</v>
      </c>
      <c r="U106" s="6">
        <f t="shared" si="6"/>
        <v>4.665127021</v>
      </c>
      <c r="V106" s="7">
        <f t="shared" si="8"/>
        <v>101.41580480434783</v>
      </c>
      <c r="W106" s="6" t="s">
        <v>30</v>
      </c>
      <c r="X106" s="6" t="s">
        <v>30</v>
      </c>
      <c r="Y106" s="6" t="s">
        <v>24</v>
      </c>
      <c r="Z106" s="6" t="s">
        <v>164</v>
      </c>
      <c r="AA106" s="6"/>
      <c r="AB106" s="6"/>
      <c r="AC106" s="6"/>
      <c r="AD106" s="6"/>
      <c r="AE106" s="6" t="str">
        <f t="shared" si="7"/>
        <v/>
      </c>
      <c r="AF106" s="6"/>
    </row>
    <row r="107" spans="1:72" s="2" customFormat="1">
      <c r="A107" s="5">
        <v>165</v>
      </c>
      <c r="B107" s="5">
        <v>165</v>
      </c>
      <c r="C107" s="5">
        <v>12480</v>
      </c>
      <c r="D107" s="5" t="s">
        <v>754</v>
      </c>
      <c r="E107" s="16" t="s">
        <v>755</v>
      </c>
      <c r="F107" s="17" t="s">
        <v>756</v>
      </c>
      <c r="G107" s="17" t="s">
        <v>757</v>
      </c>
      <c r="H107" s="17" t="s">
        <v>755</v>
      </c>
      <c r="I107" s="5" t="s">
        <v>753</v>
      </c>
      <c r="J107" s="5" t="s">
        <v>599</v>
      </c>
      <c r="K107" s="5">
        <v>3</v>
      </c>
      <c r="L107" s="5"/>
      <c r="M107" s="5" t="str" cm="1">
        <f t="array" ref="M107">_xlfn.SWITCH(L107,
1,"resident",
1.5,"resident and short-distance migrant",
2,"short-distance migrant",
2.5,"short- and long-distance migrant",
3,"long-distance migrant",
"")</f>
        <v/>
      </c>
      <c r="N107" s="5"/>
      <c r="O107" s="5"/>
      <c r="P107" s="5" t="s">
        <v>1033</v>
      </c>
      <c r="Q107" s="5" t="str">
        <f t="shared" si="10"/>
        <v>Marsh wablers</v>
      </c>
      <c r="R107" s="5">
        <v>0</v>
      </c>
      <c r="S107" s="5">
        <v>0</v>
      </c>
      <c r="T107" s="5">
        <v>9.2378752999999994E-2</v>
      </c>
      <c r="U107" s="5">
        <f t="shared" si="6"/>
        <v>9.2378752999999994E-2</v>
      </c>
      <c r="V107" s="18">
        <f t="shared" si="8"/>
        <v>2.0082337608695653</v>
      </c>
      <c r="W107" s="5" t="s">
        <v>24</v>
      </c>
      <c r="X107" s="5" t="s">
        <v>50</v>
      </c>
      <c r="Y107" s="5" t="s">
        <v>24</v>
      </c>
      <c r="Z107" s="5" t="s">
        <v>69</v>
      </c>
      <c r="AA107" s="5" t="s">
        <v>1046</v>
      </c>
      <c r="AB107" s="5"/>
      <c r="AC107" s="5"/>
      <c r="AD107" s="5">
        <v>1</v>
      </c>
      <c r="AE107" s="5">
        <f t="shared" si="7"/>
        <v>1</v>
      </c>
      <c r="AF107" s="5"/>
      <c r="AG107" s="2">
        <v>1</v>
      </c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</row>
    <row r="108" spans="1:72">
      <c r="A108" s="6">
        <v>166</v>
      </c>
      <c r="B108" s="6">
        <v>166</v>
      </c>
      <c r="C108" s="6">
        <v>12500</v>
      </c>
      <c r="D108" s="6" t="s">
        <v>758</v>
      </c>
      <c r="E108" s="11" t="s">
        <v>759</v>
      </c>
      <c r="F108" s="14" t="s">
        <v>760</v>
      </c>
      <c r="G108" s="14" t="s">
        <v>761</v>
      </c>
      <c r="H108" s="14" t="s">
        <v>759</v>
      </c>
      <c r="I108" s="6" t="s">
        <v>753</v>
      </c>
      <c r="J108" s="6" t="s">
        <v>599</v>
      </c>
      <c r="K108" s="6">
        <v>3</v>
      </c>
      <c r="L108" s="6">
        <v>3</v>
      </c>
      <c r="M108" s="6" t="str" cm="1">
        <f t="array" ref="M108">_xlfn.SWITCH(L108,
1,"resident",
1.5,"resident and short-distance migrant",
2,"short-distance migrant",
2.5,"short- and long-distance migrant",
3,"long-distance migrant",
"")</f>
        <v>long-distance migrant</v>
      </c>
      <c r="N108" s="6" t="s">
        <v>740</v>
      </c>
      <c r="O108" s="6" t="s">
        <v>740</v>
      </c>
      <c r="P108" s="6"/>
      <c r="Q108" s="6" t="str">
        <f t="shared" si="10"/>
        <v>Marsh warblers</v>
      </c>
      <c r="R108" s="6">
        <v>38.66050808</v>
      </c>
      <c r="S108" s="6">
        <v>57.690531180000001</v>
      </c>
      <c r="T108" s="6">
        <v>75.242494230000005</v>
      </c>
      <c r="U108" s="6">
        <f t="shared" si="6"/>
        <v>171.59353349</v>
      </c>
      <c r="V108" s="7">
        <f t="shared" si="8"/>
        <v>3730.2942063043479</v>
      </c>
      <c r="W108" s="6" t="s">
        <v>24</v>
      </c>
      <c r="X108" s="6" t="s">
        <v>24</v>
      </c>
      <c r="Y108" s="6" t="s">
        <v>24</v>
      </c>
      <c r="Z108" s="6" t="s">
        <v>25</v>
      </c>
      <c r="AA108" s="6"/>
      <c r="AB108" s="6"/>
      <c r="AC108" s="6"/>
      <c r="AD108" s="6"/>
      <c r="AE108" s="6" t="str">
        <f t="shared" si="7"/>
        <v/>
      </c>
      <c r="AF108" s="6"/>
    </row>
    <row r="109" spans="1:72">
      <c r="A109" s="6">
        <v>164</v>
      </c>
      <c r="B109" s="6">
        <v>164</v>
      </c>
      <c r="C109" s="6">
        <v>12430</v>
      </c>
      <c r="D109" s="6" t="s">
        <v>749</v>
      </c>
      <c r="E109" s="11" t="s">
        <v>750</v>
      </c>
      <c r="F109" s="14" t="s">
        <v>751</v>
      </c>
      <c r="G109" s="14" t="s">
        <v>752</v>
      </c>
      <c r="H109" s="14" t="s">
        <v>750</v>
      </c>
      <c r="I109" s="6" t="s">
        <v>753</v>
      </c>
      <c r="J109" s="6" t="s">
        <v>599</v>
      </c>
      <c r="K109" s="6">
        <v>3</v>
      </c>
      <c r="L109" s="6">
        <v>3</v>
      </c>
      <c r="M109" s="6" t="str" cm="1">
        <f t="array" ref="M109">_xlfn.SWITCH(L109,
1,"resident",
1.5,"resident and short-distance migrant",
2,"short-distance migrant",
2.5,"short- and long-distance migrant",
3,"long-distance migrant",
"")</f>
        <v>long-distance migrant</v>
      </c>
      <c r="N109" s="6" t="s">
        <v>740</v>
      </c>
      <c r="O109" s="6" t="s">
        <v>740</v>
      </c>
      <c r="P109" s="6"/>
      <c r="Q109" s="6" t="str">
        <f t="shared" si="10"/>
        <v>Marsh warblers</v>
      </c>
      <c r="R109" s="6">
        <v>52.009237880000001</v>
      </c>
      <c r="S109" s="6">
        <v>22.956120089999999</v>
      </c>
      <c r="T109" s="6">
        <v>26.281755199999999</v>
      </c>
      <c r="U109" s="6">
        <f t="shared" si="6"/>
        <v>101.24711317000001</v>
      </c>
      <c r="V109" s="7">
        <f t="shared" si="8"/>
        <v>2201.0241993478262</v>
      </c>
      <c r="W109" s="6" t="s">
        <v>30</v>
      </c>
      <c r="X109" s="6" t="s">
        <v>30</v>
      </c>
      <c r="Y109" s="6" t="s">
        <v>24</v>
      </c>
      <c r="Z109" s="6" t="s">
        <v>164</v>
      </c>
      <c r="AA109" s="6"/>
      <c r="AB109" s="6"/>
      <c r="AC109" s="6"/>
      <c r="AD109" s="6"/>
      <c r="AE109" s="6" t="str">
        <f t="shared" si="7"/>
        <v/>
      </c>
      <c r="AF109" s="6"/>
    </row>
    <row r="110" spans="1:72">
      <c r="A110" s="6">
        <v>167</v>
      </c>
      <c r="B110" s="6">
        <v>167</v>
      </c>
      <c r="C110" s="6">
        <v>12510</v>
      </c>
      <c r="D110" s="6" t="s">
        <v>762</v>
      </c>
      <c r="E110" s="11" t="s">
        <v>763</v>
      </c>
      <c r="F110" s="14" t="s">
        <v>764</v>
      </c>
      <c r="G110" s="14" t="s">
        <v>765</v>
      </c>
      <c r="H110" s="14" t="s">
        <v>763</v>
      </c>
      <c r="I110" s="6" t="s">
        <v>753</v>
      </c>
      <c r="J110" s="6" t="s">
        <v>599</v>
      </c>
      <c r="K110" s="6">
        <v>3</v>
      </c>
      <c r="L110" s="6">
        <v>3</v>
      </c>
      <c r="M110" s="6" t="str" cm="1">
        <f t="array" ref="M110">_xlfn.SWITCH(L110,
1,"resident",
1.5,"resident and short-distance migrant",
2,"short-distance migrant",
2.5,"short- and long-distance migrant",
3,"long-distance migrant",
"")</f>
        <v>long-distance migrant</v>
      </c>
      <c r="N110" s="6" t="s">
        <v>740</v>
      </c>
      <c r="O110" s="6" t="s">
        <v>740</v>
      </c>
      <c r="P110" s="6"/>
      <c r="Q110" s="6" t="str">
        <f t="shared" si="10"/>
        <v>Marsh warblers</v>
      </c>
      <c r="R110" s="6">
        <v>51.824480370000003</v>
      </c>
      <c r="S110" s="6">
        <v>63.602771359999998</v>
      </c>
      <c r="T110" s="6">
        <v>61.431870670000002</v>
      </c>
      <c r="U110" s="6">
        <f t="shared" si="6"/>
        <v>176.85912239999999</v>
      </c>
      <c r="V110" s="7">
        <f t="shared" si="8"/>
        <v>3844.7635304347823</v>
      </c>
      <c r="W110" s="6" t="s">
        <v>24</v>
      </c>
      <c r="X110" s="6" t="s">
        <v>24</v>
      </c>
      <c r="Y110" s="6" t="s">
        <v>30</v>
      </c>
      <c r="Z110" s="6" t="s">
        <v>31</v>
      </c>
      <c r="AA110" s="6"/>
      <c r="AB110" s="6"/>
      <c r="AC110" s="6"/>
      <c r="AD110" s="6"/>
      <c r="AE110" s="6" t="str">
        <f t="shared" si="7"/>
        <v/>
      </c>
      <c r="AF110" s="6"/>
    </row>
    <row r="111" spans="1:72">
      <c r="A111" s="6">
        <v>186</v>
      </c>
      <c r="B111" s="6">
        <v>186</v>
      </c>
      <c r="C111" s="6">
        <v>14370</v>
      </c>
      <c r="D111" s="6" t="s">
        <v>845</v>
      </c>
      <c r="E111" s="11" t="s">
        <v>846</v>
      </c>
      <c r="F111" s="14" t="s">
        <v>847</v>
      </c>
      <c r="G111" s="14" t="s">
        <v>848</v>
      </c>
      <c r="H111" s="14" t="s">
        <v>846</v>
      </c>
      <c r="I111" s="6" t="s">
        <v>849</v>
      </c>
      <c r="J111" s="6" t="s">
        <v>599</v>
      </c>
      <c r="K111" s="6">
        <v>1</v>
      </c>
      <c r="L111" s="6">
        <v>1</v>
      </c>
      <c r="M111" s="6" t="str" cm="1">
        <f t="array" ref="M111">_xlfn.SWITCH(L111,
1,"resident",
1.5,"resident and short-distance migrant",
2,"short-distance migrant",
2.5,"short- and long-distance migrant",
3,"long-distance migrant",
"")</f>
        <v>resident</v>
      </c>
      <c r="N111" s="6" t="s">
        <v>817</v>
      </c>
      <c r="O111" s="6" t="s">
        <v>817</v>
      </c>
      <c r="P111" s="6"/>
      <c r="Q111" s="6" t="str">
        <f t="shared" si="10"/>
        <v>Tit-like birds</v>
      </c>
      <c r="R111" s="6">
        <v>21.108545029999998</v>
      </c>
      <c r="S111" s="6">
        <v>27.990762119999999</v>
      </c>
      <c r="T111" s="6">
        <v>37.228637409999997</v>
      </c>
      <c r="U111" s="6">
        <f t="shared" si="6"/>
        <v>86.327944559999992</v>
      </c>
      <c r="V111" s="7">
        <f t="shared" si="8"/>
        <v>1876.6944469565217</v>
      </c>
      <c r="W111" s="6" t="s">
        <v>24</v>
      </c>
      <c r="X111" s="6" t="s">
        <v>24</v>
      </c>
      <c r="Y111" s="6" t="s">
        <v>24</v>
      </c>
      <c r="Z111" s="6" t="s">
        <v>25</v>
      </c>
      <c r="AA111" s="6"/>
      <c r="AB111" s="6"/>
      <c r="AC111" s="6"/>
      <c r="AD111" s="6"/>
      <c r="AE111" s="6" t="str">
        <f t="shared" si="7"/>
        <v/>
      </c>
      <c r="AF111" s="6"/>
    </row>
    <row r="112" spans="1:72">
      <c r="A112" s="6">
        <v>130</v>
      </c>
      <c r="B112" s="6">
        <v>130</v>
      </c>
      <c r="C112" s="6">
        <v>9760</v>
      </c>
      <c r="D112" s="6" t="s">
        <v>604</v>
      </c>
      <c r="E112" s="11" t="s">
        <v>605</v>
      </c>
      <c r="F112" s="14" t="s">
        <v>606</v>
      </c>
      <c r="G112" s="14" t="s">
        <v>607</v>
      </c>
      <c r="H112" s="14" t="s">
        <v>605</v>
      </c>
      <c r="I112" s="6" t="s">
        <v>598</v>
      </c>
      <c r="J112" s="6" t="s">
        <v>599</v>
      </c>
      <c r="K112" s="6">
        <v>2</v>
      </c>
      <c r="L112" s="6">
        <v>1.5</v>
      </c>
      <c r="M112" s="6" t="str" cm="1">
        <f t="array" ref="M112">_xlfn.SWITCH(L112,
1,"resident",
1.5,"resident and short-distance migrant",
2,"short-distance migrant",
2.5,"short- and long-distance migrant",
3,"long-distance migrant",
"")</f>
        <v>resident and short-distance migrant</v>
      </c>
      <c r="N112" s="6" t="s">
        <v>600</v>
      </c>
      <c r="O112" s="6" t="s">
        <v>600</v>
      </c>
      <c r="P112" s="6"/>
      <c r="Q112" s="6" t="str">
        <f t="shared" si="10"/>
        <v>Open-land insectivores</v>
      </c>
      <c r="R112" s="6">
        <v>95.889145499999998</v>
      </c>
      <c r="S112" s="6">
        <v>97.921478059999998</v>
      </c>
      <c r="T112" s="6">
        <v>97.829099310000004</v>
      </c>
      <c r="U112" s="6">
        <f t="shared" si="6"/>
        <v>291.63972287000001</v>
      </c>
      <c r="V112" s="7">
        <f t="shared" si="8"/>
        <v>6339.9939754347834</v>
      </c>
      <c r="W112" s="6" t="s">
        <v>24</v>
      </c>
      <c r="X112" s="6" t="s">
        <v>24</v>
      </c>
      <c r="Y112" s="6" t="s">
        <v>30</v>
      </c>
      <c r="Z112" s="6" t="s">
        <v>31</v>
      </c>
      <c r="AA112" s="6"/>
      <c r="AB112" s="6"/>
      <c r="AC112" s="6"/>
      <c r="AD112" s="6"/>
      <c r="AE112" s="6" t="str">
        <f t="shared" si="7"/>
        <v/>
      </c>
      <c r="AF112" s="6"/>
    </row>
    <row r="113" spans="1:72">
      <c r="A113" s="6">
        <v>134</v>
      </c>
      <c r="B113" s="6">
        <v>134</v>
      </c>
      <c r="C113" s="6">
        <v>10050</v>
      </c>
      <c r="D113" s="6" t="s">
        <v>621</v>
      </c>
      <c r="E113" s="11" t="s">
        <v>622</v>
      </c>
      <c r="F113" s="14" t="s">
        <v>623</v>
      </c>
      <c r="G113" s="14" t="s">
        <v>624</v>
      </c>
      <c r="H113" s="14" t="s">
        <v>622</v>
      </c>
      <c r="I113" s="6" t="s">
        <v>625</v>
      </c>
      <c r="J113" s="6" t="s">
        <v>599</v>
      </c>
      <c r="K113" s="6">
        <v>3</v>
      </c>
      <c r="L113" s="6">
        <v>3</v>
      </c>
      <c r="M113" s="6" t="str" cm="1">
        <f t="array" ref="M113">_xlfn.SWITCH(L113,
1,"resident",
1.5,"resident and short-distance migrant",
2,"short-distance migrant",
2.5,"short- and long-distance migrant",
3,"long-distance migrant",
"")</f>
        <v>long-distance migrant</v>
      </c>
      <c r="N113" s="6" t="s">
        <v>600</v>
      </c>
      <c r="O113" s="6"/>
      <c r="P113" s="6"/>
      <c r="Q113" s="6" t="str">
        <f t="shared" si="10"/>
        <v>Open-land insectivores</v>
      </c>
      <c r="R113" s="6">
        <v>1.2009237880000001</v>
      </c>
      <c r="S113" s="6">
        <v>0.36951501199999998</v>
      </c>
      <c r="T113" s="6">
        <v>4.6189375999999997E-2</v>
      </c>
      <c r="U113" s="6">
        <f t="shared" si="6"/>
        <v>1.6166281760000001</v>
      </c>
      <c r="V113" s="7">
        <f t="shared" si="8"/>
        <v>35.1440907826087</v>
      </c>
      <c r="W113" s="6" t="s">
        <v>30</v>
      </c>
      <c r="X113" s="6" t="s">
        <v>30</v>
      </c>
      <c r="Y113" s="6" t="s">
        <v>30</v>
      </c>
      <c r="Z113" s="6" t="s">
        <v>84</v>
      </c>
      <c r="AA113" s="6"/>
      <c r="AB113" s="6"/>
      <c r="AC113" s="6"/>
      <c r="AD113" s="6"/>
      <c r="AE113" s="6" t="str">
        <f t="shared" si="7"/>
        <v/>
      </c>
      <c r="AF113" s="6"/>
    </row>
    <row r="114" spans="1:72">
      <c r="A114" s="6">
        <v>137</v>
      </c>
      <c r="B114" s="6">
        <v>137</v>
      </c>
      <c r="C114" s="6">
        <v>10135</v>
      </c>
      <c r="D114" s="6" t="s">
        <v>635</v>
      </c>
      <c r="E114" s="11" t="s">
        <v>636</v>
      </c>
      <c r="F114" s="14" t="s">
        <v>637</v>
      </c>
      <c r="G114" s="14" t="s">
        <v>638</v>
      </c>
      <c r="H114" s="14" t="s">
        <v>636</v>
      </c>
      <c r="I114" s="6" t="s">
        <v>625</v>
      </c>
      <c r="J114" s="6" t="s">
        <v>599</v>
      </c>
      <c r="K114" s="6">
        <v>2</v>
      </c>
      <c r="L114" s="6">
        <v>1.5</v>
      </c>
      <c r="M114" s="6" t="str" cm="1">
        <f t="array" ref="M114">_xlfn.SWITCH(L114,
1,"resident",
1.5,"resident and short-distance migrant",
2,"short-distance migrant",
2.5,"short- and long-distance migrant",
3,"long-distance migrant",
"")</f>
        <v>resident and short-distance migrant</v>
      </c>
      <c r="N114" s="6"/>
      <c r="O114" s="6"/>
      <c r="P114" s="6" t="s">
        <v>600</v>
      </c>
      <c r="Q114" s="6" t="str">
        <f t="shared" si="10"/>
        <v>Open-land insectivores</v>
      </c>
      <c r="R114" s="6">
        <v>0.83140877599999996</v>
      </c>
      <c r="S114" s="6">
        <v>1.062355658</v>
      </c>
      <c r="T114" s="6">
        <v>0.277136259</v>
      </c>
      <c r="U114" s="6">
        <f t="shared" si="6"/>
        <v>2.1709006930000001</v>
      </c>
      <c r="V114" s="7">
        <f t="shared" si="8"/>
        <v>47.193493326086958</v>
      </c>
      <c r="W114" s="6" t="s">
        <v>30</v>
      </c>
      <c r="X114" s="6" t="s">
        <v>24</v>
      </c>
      <c r="Y114" s="6" t="s">
        <v>30</v>
      </c>
      <c r="Z114" s="6" t="s">
        <v>31</v>
      </c>
      <c r="AA114" s="6"/>
      <c r="AB114" s="6"/>
      <c r="AC114" s="6"/>
      <c r="AD114" s="6"/>
      <c r="AE114" s="6" t="str">
        <f t="shared" si="7"/>
        <v/>
      </c>
      <c r="AF114" s="6"/>
    </row>
    <row r="115" spans="1:72">
      <c r="A115" s="6">
        <v>136</v>
      </c>
      <c r="B115" s="6">
        <v>136</v>
      </c>
      <c r="C115" s="6">
        <v>10110</v>
      </c>
      <c r="D115" s="6" t="s">
        <v>631</v>
      </c>
      <c r="E115" s="11" t="s">
        <v>632</v>
      </c>
      <c r="F115" s="14" t="s">
        <v>633</v>
      </c>
      <c r="G115" s="14" t="s">
        <v>634</v>
      </c>
      <c r="H115" s="14" t="s">
        <v>632</v>
      </c>
      <c r="I115" s="6" t="s">
        <v>625</v>
      </c>
      <c r="J115" s="6" t="s">
        <v>599</v>
      </c>
      <c r="K115" s="6">
        <v>2</v>
      </c>
      <c r="L115" s="6">
        <v>2</v>
      </c>
      <c r="M115" s="6" t="str" cm="1">
        <f t="array" ref="M115">_xlfn.SWITCH(L115,
1,"resident",
1.5,"resident and short-distance migrant",
2,"short-distance migrant",
2.5,"short- and long-distance migrant",
3,"long-distance migrant",
"")</f>
        <v>short-distance migrant</v>
      </c>
      <c r="N115" s="6" t="s">
        <v>600</v>
      </c>
      <c r="O115" s="6" t="s">
        <v>600</v>
      </c>
      <c r="P115" s="6"/>
      <c r="Q115" s="6" t="str">
        <f t="shared" si="10"/>
        <v>Open-land insectivores</v>
      </c>
      <c r="R115" s="6">
        <v>56.766743650000002</v>
      </c>
      <c r="S115" s="6">
        <v>56.859122399999997</v>
      </c>
      <c r="T115" s="6">
        <v>56.859122399999997</v>
      </c>
      <c r="U115" s="6">
        <f t="shared" si="6"/>
        <v>170.48498845</v>
      </c>
      <c r="V115" s="7">
        <f t="shared" si="8"/>
        <v>3706.1954010869567</v>
      </c>
      <c r="W115" s="6" t="s">
        <v>24</v>
      </c>
      <c r="X115" s="6" t="s">
        <v>24</v>
      </c>
      <c r="Y115" s="6" t="s">
        <v>50</v>
      </c>
      <c r="Z115" s="6" t="s">
        <v>228</v>
      </c>
      <c r="AA115" s="6"/>
      <c r="AB115" s="6"/>
      <c r="AC115" s="6"/>
      <c r="AD115" s="6"/>
      <c r="AE115" s="6" t="str">
        <f t="shared" si="7"/>
        <v/>
      </c>
      <c r="AF115" s="6"/>
    </row>
    <row r="116" spans="1:72">
      <c r="A116" s="6">
        <v>135</v>
      </c>
      <c r="B116" s="6">
        <v>135</v>
      </c>
      <c r="C116" s="6">
        <v>10090</v>
      </c>
      <c r="D116" s="6" t="s">
        <v>626</v>
      </c>
      <c r="E116" s="11" t="s">
        <v>627</v>
      </c>
      <c r="F116" s="14" t="s">
        <v>628</v>
      </c>
      <c r="G116" s="14" t="s">
        <v>629</v>
      </c>
      <c r="H116" s="14" t="s">
        <v>627</v>
      </c>
      <c r="I116" s="6" t="s">
        <v>625</v>
      </c>
      <c r="J116" s="6" t="s">
        <v>599</v>
      </c>
      <c r="K116" s="6">
        <v>3</v>
      </c>
      <c r="L116" s="6">
        <v>3</v>
      </c>
      <c r="M116" s="6" t="str" cm="1">
        <f t="array" ref="M116">_xlfn.SWITCH(L116,
1,"resident",
1.5,"resident and short-distance migrant",
2,"short-distance migrant",
2.5,"short- and long-distance migrant",
3,"long-distance migrant",
"")</f>
        <v>long-distance migrant</v>
      </c>
      <c r="N116" s="6" t="s">
        <v>600</v>
      </c>
      <c r="O116" s="6" t="s">
        <v>630</v>
      </c>
      <c r="P116" s="6"/>
      <c r="Q116" s="6" t="str">
        <f t="shared" si="10"/>
        <v>Low flycatching feeders</v>
      </c>
      <c r="R116" s="6">
        <v>57.690531180000001</v>
      </c>
      <c r="S116" s="6">
        <v>60.32332564</v>
      </c>
      <c r="T116" s="6">
        <v>64.295612009999999</v>
      </c>
      <c r="U116" s="6">
        <f t="shared" si="6"/>
        <v>182.30946883000001</v>
      </c>
      <c r="V116" s="7">
        <f t="shared" si="8"/>
        <v>3963.2493223913048</v>
      </c>
      <c r="W116" s="6" t="s">
        <v>24</v>
      </c>
      <c r="X116" s="6" t="s">
        <v>24</v>
      </c>
      <c r="Y116" s="6" t="s">
        <v>24</v>
      </c>
      <c r="Z116" s="6" t="s">
        <v>25</v>
      </c>
      <c r="AA116" s="6"/>
      <c r="AB116" s="6"/>
      <c r="AC116" s="6"/>
      <c r="AD116" s="6"/>
      <c r="AE116" s="6" t="str">
        <f t="shared" si="7"/>
        <v/>
      </c>
      <c r="AF116" s="6"/>
    </row>
    <row r="117" spans="1:72" s="3" customFormat="1">
      <c r="A117" s="6">
        <v>215</v>
      </c>
      <c r="B117" s="6">
        <v>215</v>
      </c>
      <c r="C117" s="6">
        <v>16530</v>
      </c>
      <c r="D117" s="6" t="s">
        <v>974</v>
      </c>
      <c r="E117" s="11" t="s">
        <v>975</v>
      </c>
      <c r="F117" s="14" t="s">
        <v>976</v>
      </c>
      <c r="G117" s="14" t="s">
        <v>977</v>
      </c>
      <c r="H117" s="14" t="s">
        <v>975</v>
      </c>
      <c r="I117" s="6" t="s">
        <v>962</v>
      </c>
      <c r="J117" s="6" t="s">
        <v>599</v>
      </c>
      <c r="K117" s="6">
        <v>1</v>
      </c>
      <c r="L117" s="6">
        <v>1.5</v>
      </c>
      <c r="M117" s="6" t="str" cm="1">
        <f t="array" ref="M117">_xlfn.SWITCH(L117,
1,"resident",
1.5,"resident and short-distance migrant",
2,"short-distance migrant",
2.5,"short- and long-distance migrant",
3,"long-distance migrant",
"")</f>
        <v>resident and short-distance migrant</v>
      </c>
      <c r="N117" s="6" t="s">
        <v>953</v>
      </c>
      <c r="O117" s="6" t="s">
        <v>953</v>
      </c>
      <c r="P117" s="6"/>
      <c r="Q117" s="6" t="str">
        <f t="shared" ref="Q117:Q135" si="11">IF(NOT(ISBLANK(P117)), P117, IF(NOT(ISBLANK(O117)), O117, N117))</f>
        <v>Passerine seedeaters</v>
      </c>
      <c r="R117" s="6">
        <v>43.695150120000001</v>
      </c>
      <c r="S117" s="6">
        <v>59.861431869999997</v>
      </c>
      <c r="T117" s="6">
        <v>72.933025400000005</v>
      </c>
      <c r="U117" s="6">
        <f t="shared" si="6"/>
        <v>176.48960739</v>
      </c>
      <c r="V117" s="7">
        <f t="shared" si="8"/>
        <v>3836.7305954347826</v>
      </c>
      <c r="W117" s="6" t="s">
        <v>24</v>
      </c>
      <c r="X117" s="6" t="s">
        <v>24</v>
      </c>
      <c r="Y117" s="6" t="s">
        <v>24</v>
      </c>
      <c r="Z117" s="6" t="s">
        <v>25</v>
      </c>
      <c r="AA117" s="6"/>
      <c r="AB117" s="6"/>
      <c r="AC117" s="6"/>
      <c r="AD117" s="6"/>
      <c r="AE117" s="6" t="str">
        <f t="shared" si="7"/>
        <v/>
      </c>
      <c r="AF117" s="6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</row>
    <row r="118" spans="1:72">
      <c r="A118" s="6">
        <v>222</v>
      </c>
      <c r="B118" s="6">
        <v>222</v>
      </c>
      <c r="C118" s="6">
        <v>16790</v>
      </c>
      <c r="D118" s="6" t="s">
        <v>1002</v>
      </c>
      <c r="E118" s="11" t="s">
        <v>1003</v>
      </c>
      <c r="F118" s="14" t="s">
        <v>1004</v>
      </c>
      <c r="G118" s="14" t="s">
        <v>1005</v>
      </c>
      <c r="H118" s="14" t="s">
        <v>1003</v>
      </c>
      <c r="I118" s="6" t="s">
        <v>962</v>
      </c>
      <c r="J118" s="6" t="s">
        <v>599</v>
      </c>
      <c r="K118" s="6">
        <v>3</v>
      </c>
      <c r="L118" s="6">
        <v>3</v>
      </c>
      <c r="M118" s="6" t="str" cm="1">
        <f t="array" ref="M118">_xlfn.SWITCH(L118,
1,"resident",
1.5,"resident and short-distance migrant",
2,"short-distance migrant",
2.5,"short- and long-distance migrant",
3,"long-distance migrant",
"")</f>
        <v>long-distance migrant</v>
      </c>
      <c r="N118" s="6"/>
      <c r="O118" s="6" t="s">
        <v>953</v>
      </c>
      <c r="P118" s="6"/>
      <c r="Q118" s="6" t="str">
        <f t="shared" si="11"/>
        <v>Passerine seedeaters</v>
      </c>
      <c r="R118" s="6">
        <v>0.277136259</v>
      </c>
      <c r="S118" s="6">
        <v>5.6351039260000002</v>
      </c>
      <c r="T118" s="6">
        <v>1.709006928</v>
      </c>
      <c r="U118" s="6">
        <f t="shared" si="6"/>
        <v>7.6212471129999999</v>
      </c>
      <c r="V118" s="7">
        <f t="shared" si="8"/>
        <v>165.67928506521739</v>
      </c>
      <c r="W118" s="6" t="s">
        <v>24</v>
      </c>
      <c r="X118" s="6" t="s">
        <v>24</v>
      </c>
      <c r="Y118" s="6" t="s">
        <v>30</v>
      </c>
      <c r="Z118" s="6" t="s">
        <v>31</v>
      </c>
      <c r="AA118" s="6"/>
      <c r="AB118" s="6"/>
      <c r="AC118" s="6"/>
      <c r="AD118" s="6"/>
      <c r="AE118" s="6" t="str">
        <f t="shared" si="7"/>
        <v/>
      </c>
      <c r="AF118" s="6"/>
    </row>
    <row r="119" spans="1:72">
      <c r="A119" s="6">
        <v>195</v>
      </c>
      <c r="B119" s="6">
        <v>195</v>
      </c>
      <c r="C119" s="6">
        <v>14870</v>
      </c>
      <c r="D119" s="6" t="s">
        <v>885</v>
      </c>
      <c r="E119" s="11" t="s">
        <v>886</v>
      </c>
      <c r="F119" s="14" t="s">
        <v>887</v>
      </c>
      <c r="G119" s="14" t="s">
        <v>888</v>
      </c>
      <c r="H119" s="14" t="s">
        <v>886</v>
      </c>
      <c r="I119" s="6" t="s">
        <v>884</v>
      </c>
      <c r="J119" s="6" t="s">
        <v>599</v>
      </c>
      <c r="K119" s="6">
        <v>1</v>
      </c>
      <c r="L119" s="6">
        <v>1</v>
      </c>
      <c r="M119" s="6" t="str" cm="1">
        <f t="array" ref="M119">_xlfn.SWITCH(L119,
1,"resident",
1.5,"resident and short-distance migrant",
2,"short-distance migrant",
2.5,"short- and long-distance migrant",
3,"long-distance migrant",
"")</f>
        <v>resident</v>
      </c>
      <c r="N119" s="6" t="s">
        <v>817</v>
      </c>
      <c r="O119" s="6" t="s">
        <v>817</v>
      </c>
      <c r="P119" s="6"/>
      <c r="Q119" s="6" t="str">
        <f t="shared" si="11"/>
        <v>Tit-like birds</v>
      </c>
      <c r="R119" s="6">
        <v>1.478060046</v>
      </c>
      <c r="S119" s="6">
        <v>9.5150115470000003</v>
      </c>
      <c r="T119" s="6">
        <v>23.64896074</v>
      </c>
      <c r="U119" s="6">
        <f t="shared" si="6"/>
        <v>34.642032333000003</v>
      </c>
      <c r="V119" s="7">
        <f t="shared" si="8"/>
        <v>753.08765941304353</v>
      </c>
      <c r="W119" s="6" t="s">
        <v>24</v>
      </c>
      <c r="X119" s="6" t="s">
        <v>24</v>
      </c>
      <c r="Y119" s="6" t="s">
        <v>24</v>
      </c>
      <c r="Z119" s="6" t="s">
        <v>25</v>
      </c>
      <c r="AA119" s="6"/>
      <c r="AB119" s="6"/>
      <c r="AC119" s="6"/>
      <c r="AD119" s="6"/>
      <c r="AE119" s="6" t="str">
        <f t="shared" si="7"/>
        <v/>
      </c>
      <c r="AF119" s="6"/>
    </row>
    <row r="120" spans="1:72">
      <c r="A120" s="6">
        <v>194</v>
      </c>
      <c r="B120" s="6">
        <v>194</v>
      </c>
      <c r="C120" s="6">
        <v>14860</v>
      </c>
      <c r="D120" s="6" t="s">
        <v>880</v>
      </c>
      <c r="E120" s="11" t="s">
        <v>881</v>
      </c>
      <c r="F120" s="14" t="s">
        <v>882</v>
      </c>
      <c r="G120" s="14" t="s">
        <v>883</v>
      </c>
      <c r="H120" s="14" t="s">
        <v>881</v>
      </c>
      <c r="I120" s="6" t="s">
        <v>884</v>
      </c>
      <c r="J120" s="6" t="s">
        <v>599</v>
      </c>
      <c r="K120" s="6">
        <v>1</v>
      </c>
      <c r="L120" s="6">
        <v>1</v>
      </c>
      <c r="M120" s="6" t="str" cm="1">
        <f t="array" ref="M120">_xlfn.SWITCH(L120,
1,"resident",
1.5,"resident and short-distance migrant",
2,"short-distance migrant",
2.5,"short- and long-distance migrant",
3,"long-distance migrant",
"")</f>
        <v>resident</v>
      </c>
      <c r="N120" s="6" t="s">
        <v>817</v>
      </c>
      <c r="O120" s="6" t="s">
        <v>817</v>
      </c>
      <c r="P120" s="6"/>
      <c r="Q120" s="6" t="str">
        <f t="shared" si="11"/>
        <v>Tit-like birds</v>
      </c>
      <c r="R120" s="6">
        <v>25.311778289999999</v>
      </c>
      <c r="S120" s="6">
        <v>41.524249419999997</v>
      </c>
      <c r="T120" s="6">
        <v>48.591224019999999</v>
      </c>
      <c r="U120" s="6">
        <f t="shared" si="6"/>
        <v>115.42725172999999</v>
      </c>
      <c r="V120" s="7">
        <f t="shared" si="8"/>
        <v>2509.2880810869565</v>
      </c>
      <c r="W120" s="6" t="s">
        <v>24</v>
      </c>
      <c r="X120" s="6" t="s">
        <v>24</v>
      </c>
      <c r="Y120" s="6" t="s">
        <v>24</v>
      </c>
      <c r="Z120" s="6" t="s">
        <v>25</v>
      </c>
      <c r="AA120" s="6"/>
      <c r="AB120" s="6"/>
      <c r="AC120" s="6"/>
      <c r="AD120" s="6"/>
      <c r="AE120" s="6" t="str">
        <f t="shared" si="7"/>
        <v/>
      </c>
      <c r="AF120" s="6"/>
    </row>
    <row r="121" spans="1:72" s="3" customFormat="1">
      <c r="A121" s="6">
        <v>214</v>
      </c>
      <c r="B121" s="6">
        <v>214</v>
      </c>
      <c r="C121" s="6">
        <v>16490</v>
      </c>
      <c r="D121" s="6" t="s">
        <v>970</v>
      </c>
      <c r="E121" s="11" t="s">
        <v>971</v>
      </c>
      <c r="F121" s="14" t="s">
        <v>972</v>
      </c>
      <c r="G121" s="14" t="s">
        <v>973</v>
      </c>
      <c r="H121" s="14" t="s">
        <v>971</v>
      </c>
      <c r="I121" s="6" t="s">
        <v>962</v>
      </c>
      <c r="J121" s="6" t="s">
        <v>599</v>
      </c>
      <c r="K121" s="6">
        <v>1</v>
      </c>
      <c r="L121" s="6">
        <v>1.5</v>
      </c>
      <c r="M121" s="6" t="str" cm="1">
        <f t="array" ref="M121">_xlfn.SWITCH(L121,
1,"resident",
1.5,"resident and short-distance migrant",
2,"short-distance migrant",
2.5,"short- and long-distance migrant",
3,"long-distance migrant",
"")</f>
        <v>resident and short-distance migrant</v>
      </c>
      <c r="N121" s="6" t="s">
        <v>953</v>
      </c>
      <c r="O121" s="6" t="s">
        <v>953</v>
      </c>
      <c r="P121" s="6"/>
      <c r="Q121" s="6" t="str">
        <f t="shared" si="11"/>
        <v>Passerine seedeaters</v>
      </c>
      <c r="R121" s="6">
        <v>75.473441109999996</v>
      </c>
      <c r="S121" s="6">
        <v>90.577367210000006</v>
      </c>
      <c r="T121" s="6">
        <v>93.441108549999996</v>
      </c>
      <c r="U121" s="6">
        <f t="shared" si="6"/>
        <v>259.49191686999995</v>
      </c>
      <c r="V121" s="7">
        <f t="shared" si="8"/>
        <v>5641.1286276086948</v>
      </c>
      <c r="W121" s="6" t="s">
        <v>24</v>
      </c>
      <c r="X121" s="6" t="s">
        <v>24</v>
      </c>
      <c r="Y121" s="6" t="s">
        <v>24</v>
      </c>
      <c r="Z121" s="6" t="s">
        <v>25</v>
      </c>
      <c r="AA121" s="6"/>
      <c r="AB121" s="6"/>
      <c r="AC121" s="6"/>
      <c r="AD121" s="6"/>
      <c r="AE121" s="6" t="str">
        <f t="shared" si="7"/>
        <v/>
      </c>
      <c r="AF121" s="6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</row>
    <row r="122" spans="1:72" s="3" customFormat="1">
      <c r="A122" s="6">
        <v>143</v>
      </c>
      <c r="B122" s="6">
        <v>143</v>
      </c>
      <c r="C122" s="6">
        <v>10500</v>
      </c>
      <c r="D122" s="6" t="s">
        <v>660</v>
      </c>
      <c r="E122" s="11" t="s">
        <v>661</v>
      </c>
      <c r="F122" s="14" t="s">
        <v>662</v>
      </c>
      <c r="G122" s="14" t="s">
        <v>663</v>
      </c>
      <c r="H122" s="14" t="s">
        <v>661</v>
      </c>
      <c r="I122" s="6" t="s">
        <v>664</v>
      </c>
      <c r="J122" s="6" t="s">
        <v>599</v>
      </c>
      <c r="K122" s="6">
        <v>1</v>
      </c>
      <c r="L122" s="6">
        <v>2</v>
      </c>
      <c r="M122" s="6" t="str" cm="1">
        <f t="array" ref="M122">_xlfn.SWITCH(L122,
1,"resident",
1.5,"resident and short-distance migrant",
2,"short-distance migrant",
2.5,"short- and long-distance migrant",
3,"long-distance migrant",
"")</f>
        <v>short-distance migrant</v>
      </c>
      <c r="N122" s="6"/>
      <c r="O122" s="6"/>
      <c r="P122" s="6" t="s">
        <v>1056</v>
      </c>
      <c r="Q122" s="6" t="str">
        <f t="shared" si="11"/>
        <v>Dippers</v>
      </c>
      <c r="R122" s="6">
        <v>0.55427251700000002</v>
      </c>
      <c r="S122" s="6">
        <v>0.64665127</v>
      </c>
      <c r="T122" s="6">
        <v>0.46189376399999998</v>
      </c>
      <c r="U122" s="6">
        <f t="shared" si="6"/>
        <v>1.6628175510000001</v>
      </c>
      <c r="V122" s="7">
        <f t="shared" si="8"/>
        <v>36.148207630434783</v>
      </c>
      <c r="W122" s="6" t="s">
        <v>30</v>
      </c>
      <c r="X122" s="6" t="s">
        <v>24</v>
      </c>
      <c r="Y122" s="6" t="s">
        <v>30</v>
      </c>
      <c r="Z122" s="6" t="s">
        <v>31</v>
      </c>
      <c r="AA122" s="6"/>
      <c r="AB122" s="6"/>
      <c r="AC122" s="6"/>
      <c r="AD122" s="6"/>
      <c r="AE122" s="6" t="str">
        <f t="shared" si="7"/>
        <v/>
      </c>
      <c r="AF122" s="6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</row>
    <row r="123" spans="1:72">
      <c r="A123" s="6">
        <v>224</v>
      </c>
      <c r="B123" s="6">
        <v>224</v>
      </c>
      <c r="C123" s="6">
        <v>17170</v>
      </c>
      <c r="D123" s="6" t="s">
        <v>1010</v>
      </c>
      <c r="E123" s="11" t="s">
        <v>1011</v>
      </c>
      <c r="F123" s="14" t="s">
        <v>1012</v>
      </c>
      <c r="G123" s="14" t="s">
        <v>1012</v>
      </c>
      <c r="H123" s="14" t="s">
        <v>1011</v>
      </c>
      <c r="I123" s="6" t="s">
        <v>962</v>
      </c>
      <c r="J123" s="6" t="s">
        <v>599</v>
      </c>
      <c r="K123" s="6">
        <v>2</v>
      </c>
      <c r="L123" s="6">
        <v>1</v>
      </c>
      <c r="M123" s="6" t="str" cm="1">
        <f t="array" ref="M123">_xlfn.SWITCH(L123,
1,"resident",
1.5,"resident and short-distance migrant",
2,"short-distance migrant",
2.5,"short- and long-distance migrant",
3,"long-distance migrant",
"")</f>
        <v>resident</v>
      </c>
      <c r="N123" s="6" t="s">
        <v>953</v>
      </c>
      <c r="O123" s="6" t="s">
        <v>953</v>
      </c>
      <c r="P123" s="6"/>
      <c r="Q123" s="6" t="str">
        <f t="shared" si="11"/>
        <v>Passerine seedeaters</v>
      </c>
      <c r="R123" s="6">
        <v>15.75057737</v>
      </c>
      <c r="S123" s="6">
        <v>27.80600462</v>
      </c>
      <c r="T123" s="6">
        <v>33.67205543</v>
      </c>
      <c r="U123" s="6">
        <f t="shared" si="6"/>
        <v>77.228637419999998</v>
      </c>
      <c r="V123" s="7">
        <f t="shared" si="8"/>
        <v>1678.883422173913</v>
      </c>
      <c r="W123" s="6" t="s">
        <v>24</v>
      </c>
      <c r="X123" s="6" t="s">
        <v>24</v>
      </c>
      <c r="Y123" s="6" t="s">
        <v>24</v>
      </c>
      <c r="Z123" s="6" t="s">
        <v>25</v>
      </c>
      <c r="AA123" s="6"/>
      <c r="AB123" s="6"/>
      <c r="AC123" s="6"/>
      <c r="AD123" s="6"/>
      <c r="AE123" s="6" t="str">
        <f t="shared" si="7"/>
        <v/>
      </c>
      <c r="AF123" s="6"/>
    </row>
    <row r="124" spans="1:72">
      <c r="A124" s="6">
        <v>203</v>
      </c>
      <c r="B124" s="6">
        <v>203</v>
      </c>
      <c r="C124" s="6">
        <v>15600</v>
      </c>
      <c r="D124" s="6" t="s">
        <v>923</v>
      </c>
      <c r="E124" s="11" t="s">
        <v>924</v>
      </c>
      <c r="F124" s="14" t="s">
        <v>925</v>
      </c>
      <c r="G124" s="14" t="s">
        <v>926</v>
      </c>
      <c r="H124" s="14" t="s">
        <v>924</v>
      </c>
      <c r="I124" s="6" t="s">
        <v>625</v>
      </c>
      <c r="J124" s="6" t="s">
        <v>599</v>
      </c>
      <c r="K124" s="6">
        <v>3</v>
      </c>
      <c r="L124" s="6">
        <v>1.5</v>
      </c>
      <c r="M124" s="6" t="str" cm="1">
        <f t="array" ref="M124">_xlfn.SWITCH(L124,
1,"resident",
1.5,"resident and short-distance migrant",
2,"short-distance migrant",
2.5,"short- and long-distance migrant",
3,"long-distance migrant",
"")</f>
        <v>resident and short-distance migrant</v>
      </c>
      <c r="N124" s="6" t="s">
        <v>914</v>
      </c>
      <c r="O124" s="6" t="s">
        <v>914</v>
      </c>
      <c r="P124" s="6"/>
      <c r="Q124" s="6" t="str">
        <f t="shared" si="11"/>
        <v>Omnivorous corvids</v>
      </c>
      <c r="R124" s="6">
        <v>53.30254042</v>
      </c>
      <c r="S124" s="6">
        <v>63.048498850000001</v>
      </c>
      <c r="T124" s="6">
        <v>64.064665129999995</v>
      </c>
      <c r="U124" s="6">
        <f t="shared" si="6"/>
        <v>180.41570439999998</v>
      </c>
      <c r="V124" s="7">
        <f t="shared" si="8"/>
        <v>3922.0805304347823</v>
      </c>
      <c r="W124" s="6" t="s">
        <v>24</v>
      </c>
      <c r="X124" s="6" t="s">
        <v>24</v>
      </c>
      <c r="Y124" s="6" t="s">
        <v>24</v>
      </c>
      <c r="Z124" s="6" t="s">
        <v>25</v>
      </c>
      <c r="AA124" s="6"/>
      <c r="AB124" s="6"/>
      <c r="AC124" s="6"/>
      <c r="AD124" s="6"/>
      <c r="AE124" s="6" t="str">
        <f t="shared" si="7"/>
        <v/>
      </c>
      <c r="AF124" s="6"/>
    </row>
    <row r="125" spans="1:72">
      <c r="A125" s="6">
        <v>207</v>
      </c>
      <c r="B125" s="6">
        <v>207</v>
      </c>
      <c r="C125" s="6">
        <v>15720</v>
      </c>
      <c r="D125" s="6" t="s">
        <v>938</v>
      </c>
      <c r="E125" s="11" t="s">
        <v>939</v>
      </c>
      <c r="F125" s="14" t="s">
        <v>940</v>
      </c>
      <c r="G125" s="14" t="s">
        <v>941</v>
      </c>
      <c r="H125" s="14" t="s">
        <v>939</v>
      </c>
      <c r="I125" s="6" t="s">
        <v>647</v>
      </c>
      <c r="J125" s="6" t="s">
        <v>599</v>
      </c>
      <c r="K125" s="6">
        <v>2</v>
      </c>
      <c r="L125" s="6">
        <v>1</v>
      </c>
      <c r="M125" s="6" t="str" cm="1">
        <f t="array" ref="M125">_xlfn.SWITCH(L125,
1,"resident",
1.5,"resident and short-distance migrant",
2,"short-distance migrant",
2.5,"short- and long-distance migrant",
3,"long-distance migrant",
"")</f>
        <v>resident</v>
      </c>
      <c r="N125" s="6" t="s">
        <v>914</v>
      </c>
      <c r="O125" s="6" t="s">
        <v>914</v>
      </c>
      <c r="P125" s="6"/>
      <c r="Q125" s="6" t="str">
        <f t="shared" si="11"/>
        <v>Omnivorous corvids</v>
      </c>
      <c r="R125" s="6">
        <v>6.0969976910000003</v>
      </c>
      <c r="S125" s="6">
        <v>21.939953809999999</v>
      </c>
      <c r="T125" s="6">
        <v>53.441108550000003</v>
      </c>
      <c r="U125" s="6">
        <f t="shared" si="6"/>
        <v>81.478060051</v>
      </c>
      <c r="V125" s="7">
        <f t="shared" si="8"/>
        <v>1771.2621750217393</v>
      </c>
      <c r="W125" s="6" t="s">
        <v>24</v>
      </c>
      <c r="X125" s="6" t="s">
        <v>24</v>
      </c>
      <c r="Y125" s="6" t="s">
        <v>24</v>
      </c>
      <c r="Z125" s="6" t="s">
        <v>25</v>
      </c>
      <c r="AA125" s="6"/>
      <c r="AB125" s="6"/>
      <c r="AC125" s="6"/>
      <c r="AD125" s="6"/>
      <c r="AE125" s="6" t="str">
        <f t="shared" si="7"/>
        <v/>
      </c>
      <c r="AF125" s="6"/>
    </row>
    <row r="126" spans="1:72">
      <c r="A126" s="6">
        <v>206</v>
      </c>
      <c r="B126" s="6">
        <v>206</v>
      </c>
      <c r="C126" s="6">
        <v>15673</v>
      </c>
      <c r="D126" s="6" t="s">
        <v>934</v>
      </c>
      <c r="E126" s="11" t="s">
        <v>935</v>
      </c>
      <c r="F126" s="14" t="s">
        <v>936</v>
      </c>
      <c r="G126" s="14" t="s">
        <v>937</v>
      </c>
      <c r="H126" s="14" t="s">
        <v>935</v>
      </c>
      <c r="I126" s="6" t="s">
        <v>647</v>
      </c>
      <c r="J126" s="6" t="s">
        <v>599</v>
      </c>
      <c r="K126" s="6">
        <v>1</v>
      </c>
      <c r="L126" s="6">
        <v>1</v>
      </c>
      <c r="M126" s="6" t="str" cm="1">
        <f t="array" ref="M126">_xlfn.SWITCH(L126,
1,"resident",
1.5,"resident and short-distance migrant",
2,"short-distance migrant",
2.5,"short- and long-distance migrant",
3,"long-distance migrant",
"")</f>
        <v>resident</v>
      </c>
      <c r="N126" s="6"/>
      <c r="O126" s="6" t="s">
        <v>914</v>
      </c>
      <c r="P126" s="6"/>
      <c r="Q126" s="6" t="str">
        <f t="shared" si="11"/>
        <v>Omnivorous corvids</v>
      </c>
      <c r="R126" s="6">
        <v>71.039260970000001</v>
      </c>
      <c r="S126" s="6">
        <v>86.558891450000004</v>
      </c>
      <c r="T126" s="6">
        <v>85.819861430000003</v>
      </c>
      <c r="U126" s="6">
        <f t="shared" si="6"/>
        <v>243.41801385000002</v>
      </c>
      <c r="V126" s="7">
        <f t="shared" si="8"/>
        <v>5291.6959532608698</v>
      </c>
      <c r="W126" s="6" t="s">
        <v>24</v>
      </c>
      <c r="X126" s="6" t="s">
        <v>24</v>
      </c>
      <c r="Y126" s="6" t="s">
        <v>30</v>
      </c>
      <c r="Z126" s="6" t="s">
        <v>31</v>
      </c>
      <c r="AA126" s="6"/>
      <c r="AB126" s="6"/>
      <c r="AC126" s="6"/>
      <c r="AD126" s="6"/>
      <c r="AE126" s="6" t="str">
        <f t="shared" si="7"/>
        <v/>
      </c>
      <c r="AF126" s="6"/>
    </row>
    <row r="127" spans="1:72" s="3" customFormat="1">
      <c r="A127" s="6">
        <v>205</v>
      </c>
      <c r="B127" s="6">
        <v>205</v>
      </c>
      <c r="C127" s="6">
        <v>15671</v>
      </c>
      <c r="D127" s="6" t="s">
        <v>930</v>
      </c>
      <c r="E127" s="11" t="s">
        <v>931</v>
      </c>
      <c r="F127" s="14" t="s">
        <v>932</v>
      </c>
      <c r="G127" s="14" t="s">
        <v>933</v>
      </c>
      <c r="H127" s="14" t="s">
        <v>931</v>
      </c>
      <c r="I127" s="6" t="s">
        <v>647</v>
      </c>
      <c r="J127" s="6" t="s">
        <v>599</v>
      </c>
      <c r="K127" s="6">
        <v>1</v>
      </c>
      <c r="L127" s="6">
        <v>1</v>
      </c>
      <c r="M127" s="6" t="str" cm="1">
        <f t="array" ref="M127">_xlfn.SWITCH(L127,
1,"resident",
1.5,"resident and short-distance migrant",
2,"short-distance migrant",
2.5,"short- and long-distance migrant",
3,"long-distance migrant",
"")</f>
        <v>resident</v>
      </c>
      <c r="N127" s="6" t="s">
        <v>914</v>
      </c>
      <c r="O127" s="6" t="s">
        <v>914</v>
      </c>
      <c r="P127" s="6"/>
      <c r="Q127" s="6" t="str">
        <f t="shared" si="11"/>
        <v>Omnivorous corvids</v>
      </c>
      <c r="R127" s="6">
        <v>7.2979214780000001</v>
      </c>
      <c r="S127" s="6">
        <v>10.90069284</v>
      </c>
      <c r="T127" s="6">
        <v>9.6073903000000005</v>
      </c>
      <c r="U127" s="6">
        <f t="shared" si="6"/>
        <v>27.806004618000003</v>
      </c>
      <c r="V127" s="7">
        <f t="shared" si="8"/>
        <v>604.47836126086963</v>
      </c>
      <c r="W127" s="6" t="s">
        <v>24</v>
      </c>
      <c r="X127" s="6" t="s">
        <v>24</v>
      </c>
      <c r="Y127" s="6" t="s">
        <v>30</v>
      </c>
      <c r="Z127" s="6" t="s">
        <v>31</v>
      </c>
      <c r="AA127" s="6"/>
      <c r="AB127" s="6"/>
      <c r="AC127" s="6"/>
      <c r="AD127" s="6"/>
      <c r="AE127" s="6" t="str">
        <f t="shared" si="7"/>
        <v/>
      </c>
      <c r="AF127" s="6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</row>
    <row r="128" spans="1:72">
      <c r="A128" s="6">
        <v>204</v>
      </c>
      <c r="B128" s="6">
        <v>204</v>
      </c>
      <c r="C128" s="6">
        <v>15630</v>
      </c>
      <c r="D128" s="6" t="s">
        <v>927</v>
      </c>
      <c r="E128" s="11" t="s">
        <v>928</v>
      </c>
      <c r="F128" s="14" t="s">
        <v>929</v>
      </c>
      <c r="G128" s="14" t="s">
        <v>929</v>
      </c>
      <c r="H128" s="14" t="s">
        <v>928</v>
      </c>
      <c r="I128" s="6" t="s">
        <v>647</v>
      </c>
      <c r="J128" s="6" t="s">
        <v>599</v>
      </c>
      <c r="K128" s="6">
        <v>1</v>
      </c>
      <c r="L128" s="6">
        <v>1</v>
      </c>
      <c r="M128" s="6" t="str" cm="1">
        <f t="array" ref="M128">_xlfn.SWITCH(L128,
1,"resident",
1.5,"resident and short-distance migrant",
2,"short-distance migrant",
2.5,"short- and long-distance migrant",
3,"long-distance migrant",
"")</f>
        <v>resident</v>
      </c>
      <c r="N128" s="6" t="s">
        <v>914</v>
      </c>
      <c r="O128" s="6" t="s">
        <v>914</v>
      </c>
      <c r="P128" s="6"/>
      <c r="Q128" s="6" t="str">
        <f t="shared" si="11"/>
        <v>Omnivorous corvids</v>
      </c>
      <c r="R128" s="6">
        <v>15.33487298</v>
      </c>
      <c r="S128" s="6">
        <v>26.14318707</v>
      </c>
      <c r="T128" s="6">
        <v>39.67667436</v>
      </c>
      <c r="U128" s="6">
        <f t="shared" si="6"/>
        <v>81.154734410000003</v>
      </c>
      <c r="V128" s="7">
        <f t="shared" si="8"/>
        <v>1764.2333567391306</v>
      </c>
      <c r="W128" s="6" t="s">
        <v>24</v>
      </c>
      <c r="X128" s="6" t="s">
        <v>24</v>
      </c>
      <c r="Y128" s="6" t="s">
        <v>24</v>
      </c>
      <c r="Z128" s="6" t="s">
        <v>25</v>
      </c>
      <c r="AA128" s="6"/>
      <c r="AB128" s="6"/>
      <c r="AC128" s="6"/>
      <c r="AD128" s="6"/>
      <c r="AE128" s="6" t="str">
        <f t="shared" si="7"/>
        <v/>
      </c>
      <c r="AF128" s="6"/>
    </row>
    <row r="129" spans="1:72">
      <c r="A129" s="6">
        <v>172</v>
      </c>
      <c r="B129" s="6">
        <v>172</v>
      </c>
      <c r="C129" s="6">
        <v>12750</v>
      </c>
      <c r="D129" s="6" t="s">
        <v>784</v>
      </c>
      <c r="E129" s="11" t="s">
        <v>785</v>
      </c>
      <c r="F129" s="14" t="s">
        <v>786</v>
      </c>
      <c r="G129" s="14" t="s">
        <v>787</v>
      </c>
      <c r="H129" s="14" t="s">
        <v>785</v>
      </c>
      <c r="I129" s="6" t="s">
        <v>779</v>
      </c>
      <c r="J129" s="6" t="s">
        <v>599</v>
      </c>
      <c r="K129" s="6">
        <v>3</v>
      </c>
      <c r="L129" s="6">
        <v>3</v>
      </c>
      <c r="M129" s="6" t="str" cm="1">
        <f t="array" ref="M129">_xlfn.SWITCH(L129,
1,"resident",
1.5,"resident and short-distance migrant",
2,"short-distance migrant",
2.5,"short- and long-distance migrant",
3,"long-distance migrant",
"")</f>
        <v>long-distance migrant</v>
      </c>
      <c r="N129" s="6"/>
      <c r="O129" s="6" t="s">
        <v>774</v>
      </c>
      <c r="P129" s="6"/>
      <c r="Q129" s="6" t="str">
        <f t="shared" si="11"/>
        <v>Foliage gleaners</v>
      </c>
      <c r="R129" s="6">
        <v>87.390300229999994</v>
      </c>
      <c r="S129" s="6">
        <v>94.549653579999998</v>
      </c>
      <c r="T129" s="6">
        <v>98.521939950000004</v>
      </c>
      <c r="U129" s="6">
        <f t="shared" si="6"/>
        <v>280.46189376000001</v>
      </c>
      <c r="V129" s="7">
        <f t="shared" si="8"/>
        <v>6096.9976904347832</v>
      </c>
      <c r="W129" s="6" t="s">
        <v>24</v>
      </c>
      <c r="X129" s="6" t="s">
        <v>24</v>
      </c>
      <c r="Y129" s="6" t="s">
        <v>24</v>
      </c>
      <c r="Z129" s="6" t="s">
        <v>25</v>
      </c>
      <c r="AA129" s="6"/>
      <c r="AB129" s="6"/>
      <c r="AC129" s="6"/>
      <c r="AD129" s="6"/>
      <c r="AE129" s="6" t="str">
        <f t="shared" si="7"/>
        <v/>
      </c>
      <c r="AF129" s="6"/>
    </row>
    <row r="130" spans="1:72">
      <c r="A130" s="6">
        <v>171</v>
      </c>
      <c r="B130" s="6">
        <v>171</v>
      </c>
      <c r="C130" s="6">
        <v>12740</v>
      </c>
      <c r="D130" s="6" t="s">
        <v>780</v>
      </c>
      <c r="E130" s="11" t="s">
        <v>781</v>
      </c>
      <c r="F130" s="14" t="s">
        <v>782</v>
      </c>
      <c r="G130" s="14" t="s">
        <v>783</v>
      </c>
      <c r="H130" s="14" t="s">
        <v>781</v>
      </c>
      <c r="I130" s="6" t="s">
        <v>779</v>
      </c>
      <c r="J130" s="6" t="s">
        <v>599</v>
      </c>
      <c r="K130" s="6">
        <v>3</v>
      </c>
      <c r="L130" s="6">
        <v>3</v>
      </c>
      <c r="M130" s="6" t="str" cm="1">
        <f t="array" ref="M130">_xlfn.SWITCH(L130,
1,"resident",
1.5,"resident and short-distance migrant",
2,"short-distance migrant",
2.5,"short- and long-distance migrant",
3,"long-distance migrant",
"")</f>
        <v>long-distance migrant</v>
      </c>
      <c r="N130" s="6" t="s">
        <v>774</v>
      </c>
      <c r="O130" s="6" t="s">
        <v>774</v>
      </c>
      <c r="P130" s="6"/>
      <c r="Q130" s="6" t="str">
        <f t="shared" si="11"/>
        <v>Foliage gleaners</v>
      </c>
      <c r="R130" s="6">
        <v>77.644341800000007</v>
      </c>
      <c r="S130" s="6">
        <v>83.833718239999996</v>
      </c>
      <c r="T130" s="6">
        <v>92.101616629999995</v>
      </c>
      <c r="U130" s="6">
        <f t="shared" ref="U130:U193" si="12">R130+S130+T130</f>
        <v>253.57967667</v>
      </c>
      <c r="V130" s="7">
        <f t="shared" si="8"/>
        <v>5512.6016667391305</v>
      </c>
      <c r="W130" s="6" t="s">
        <v>24</v>
      </c>
      <c r="X130" s="6" t="s">
        <v>24</v>
      </c>
      <c r="Y130" s="6" t="s">
        <v>24</v>
      </c>
      <c r="Z130" s="6" t="s">
        <v>25</v>
      </c>
      <c r="AA130" s="6"/>
      <c r="AB130" s="6"/>
      <c r="AC130" s="6"/>
      <c r="AD130" s="6"/>
      <c r="AE130" s="6" t="str">
        <f t="shared" ref="AE130:AE193" si="13">IF(V130&lt;5,1,"")</f>
        <v/>
      </c>
      <c r="AF130" s="6"/>
    </row>
    <row r="131" spans="1:72">
      <c r="A131" s="6">
        <v>170</v>
      </c>
      <c r="B131" s="6">
        <v>170</v>
      </c>
      <c r="C131" s="6">
        <v>12730</v>
      </c>
      <c r="D131" s="6" t="s">
        <v>775</v>
      </c>
      <c r="E131" s="11" t="s">
        <v>776</v>
      </c>
      <c r="F131" s="14" t="s">
        <v>777</v>
      </c>
      <c r="G131" s="14" t="s">
        <v>778</v>
      </c>
      <c r="H131" s="14" t="s">
        <v>776</v>
      </c>
      <c r="I131" s="6" t="s">
        <v>779</v>
      </c>
      <c r="J131" s="6" t="s">
        <v>599</v>
      </c>
      <c r="K131" s="6">
        <v>3</v>
      </c>
      <c r="L131" s="6">
        <v>3</v>
      </c>
      <c r="M131" s="6" t="str" cm="1">
        <f t="array" ref="M131">_xlfn.SWITCH(L131,
1,"resident",
1.5,"resident and short-distance migrant",
2,"short-distance migrant",
2.5,"short- and long-distance migrant",
3,"long-distance migrant",
"")</f>
        <v>long-distance migrant</v>
      </c>
      <c r="N131" s="6" t="s">
        <v>774</v>
      </c>
      <c r="O131" s="6"/>
      <c r="P131" s="6"/>
      <c r="Q131" s="6" t="str">
        <f t="shared" si="11"/>
        <v>Foliage gleaners</v>
      </c>
      <c r="R131" s="6">
        <v>0.92378752900000005</v>
      </c>
      <c r="S131" s="6">
        <v>0.13856812900000001</v>
      </c>
      <c r="T131" s="6">
        <v>0</v>
      </c>
      <c r="U131" s="6">
        <f t="shared" si="12"/>
        <v>1.062355658</v>
      </c>
      <c r="V131" s="7">
        <f t="shared" ref="V131:V194" si="14">U131/0.046</f>
        <v>23.094688217391305</v>
      </c>
      <c r="W131" s="6" t="s">
        <v>30</v>
      </c>
      <c r="X131" s="6" t="s">
        <v>30</v>
      </c>
      <c r="Y131" s="6" t="s">
        <v>30</v>
      </c>
      <c r="Z131" s="6" t="s">
        <v>84</v>
      </c>
      <c r="AA131" s="6"/>
      <c r="AB131" s="6"/>
      <c r="AC131" s="6"/>
      <c r="AD131" s="6"/>
      <c r="AE131" s="6" t="str">
        <f t="shared" si="13"/>
        <v/>
      </c>
      <c r="AF131" s="6"/>
    </row>
    <row r="132" spans="1:72">
      <c r="A132" s="6">
        <v>191</v>
      </c>
      <c r="B132" s="6">
        <v>191</v>
      </c>
      <c r="C132" s="6">
        <v>14620</v>
      </c>
      <c r="D132" s="6" t="s">
        <v>867</v>
      </c>
      <c r="E132" s="11" t="s">
        <v>868</v>
      </c>
      <c r="F132" s="14" t="s">
        <v>869</v>
      </c>
      <c r="G132" s="14" t="s">
        <v>870</v>
      </c>
      <c r="H132" s="14" t="s">
        <v>868</v>
      </c>
      <c r="I132" s="6" t="s">
        <v>854</v>
      </c>
      <c r="J132" s="6" t="s">
        <v>599</v>
      </c>
      <c r="K132" s="6">
        <v>1</v>
      </c>
      <c r="L132" s="6">
        <v>1</v>
      </c>
      <c r="M132" s="6" t="str" cm="1">
        <f t="array" ref="M132">_xlfn.SWITCH(L132,
1,"resident",
1.5,"resident and short-distance migrant",
2,"short-distance migrant",
2.5,"short- and long-distance migrant",
3,"long-distance migrant",
"")</f>
        <v>resident</v>
      </c>
      <c r="N132" s="6"/>
      <c r="O132" s="6" t="s">
        <v>817</v>
      </c>
      <c r="P132" s="6"/>
      <c r="Q132" s="6" t="str">
        <f t="shared" si="11"/>
        <v>Tit-like birds</v>
      </c>
      <c r="R132" s="6">
        <v>77.875288679999997</v>
      </c>
      <c r="S132" s="6">
        <v>89.838337179999996</v>
      </c>
      <c r="T132" s="6">
        <v>93.67205543</v>
      </c>
      <c r="U132" s="6">
        <f t="shared" si="12"/>
        <v>261.38568128999998</v>
      </c>
      <c r="V132" s="7">
        <f t="shared" si="14"/>
        <v>5682.2974193478258</v>
      </c>
      <c r="W132" s="6" t="s">
        <v>24</v>
      </c>
      <c r="X132" s="6" t="s">
        <v>24</v>
      </c>
      <c r="Y132" s="6" t="s">
        <v>24</v>
      </c>
      <c r="Z132" s="6" t="s">
        <v>25</v>
      </c>
      <c r="AA132" s="6"/>
      <c r="AB132" s="6"/>
      <c r="AC132" s="6"/>
      <c r="AD132" s="6"/>
      <c r="AE132" s="6" t="str">
        <f t="shared" si="13"/>
        <v/>
      </c>
      <c r="AF132" s="6"/>
    </row>
    <row r="133" spans="1:72">
      <c r="A133" s="6">
        <v>133</v>
      </c>
      <c r="B133" s="6">
        <v>133</v>
      </c>
      <c r="C133" s="6">
        <v>10010</v>
      </c>
      <c r="D133" s="6" t="s">
        <v>617</v>
      </c>
      <c r="E133" s="11" t="s">
        <v>618</v>
      </c>
      <c r="F133" s="14" t="s">
        <v>619</v>
      </c>
      <c r="G133" s="14" t="s">
        <v>620</v>
      </c>
      <c r="H133" s="14" t="s">
        <v>618</v>
      </c>
      <c r="I133" s="6" t="s">
        <v>612</v>
      </c>
      <c r="J133" s="6" t="s">
        <v>599</v>
      </c>
      <c r="K133" s="6">
        <v>3</v>
      </c>
      <c r="L133" s="6">
        <v>3</v>
      </c>
      <c r="M133" s="6" t="str" cm="1">
        <f t="array" ref="M133">_xlfn.SWITCH(L133,
1,"resident",
1.5,"resident and short-distance migrant",
2,"short-distance migrant",
2.5,"short- and long-distance migrant",
3,"long-distance migrant",
"")</f>
        <v>long-distance migrant</v>
      </c>
      <c r="N133" s="6" t="s">
        <v>548</v>
      </c>
      <c r="O133" s="6" t="s">
        <v>548</v>
      </c>
      <c r="P133" s="6"/>
      <c r="Q133" s="6" t="str">
        <f t="shared" si="11"/>
        <v>Aerial insectivores</v>
      </c>
      <c r="R133" s="6">
        <v>66.096997689999995</v>
      </c>
      <c r="S133" s="6">
        <v>79.445727480000002</v>
      </c>
      <c r="T133" s="6">
        <v>84.757505769999995</v>
      </c>
      <c r="U133" s="6">
        <f t="shared" si="12"/>
        <v>230.30023093999998</v>
      </c>
      <c r="V133" s="7">
        <f t="shared" si="14"/>
        <v>5006.5267595652167</v>
      </c>
      <c r="W133" s="6" t="s">
        <v>24</v>
      </c>
      <c r="X133" s="6" t="s">
        <v>24</v>
      </c>
      <c r="Y133" s="6" t="s">
        <v>24</v>
      </c>
      <c r="Z133" s="6" t="s">
        <v>25</v>
      </c>
      <c r="AA133" s="6"/>
      <c r="AB133" s="6"/>
      <c r="AC133" s="6"/>
      <c r="AD133" s="6"/>
      <c r="AE133" s="6" t="str">
        <f t="shared" si="13"/>
        <v/>
      </c>
      <c r="AF133" s="6"/>
    </row>
    <row r="134" spans="1:72">
      <c r="A134" s="6">
        <v>228</v>
      </c>
      <c r="B134" s="6">
        <v>228</v>
      </c>
      <c r="C134" s="6">
        <v>18820</v>
      </c>
      <c r="D134" s="6" t="s">
        <v>1026</v>
      </c>
      <c r="E134" s="11" t="s">
        <v>1027</v>
      </c>
      <c r="F134" s="14" t="s">
        <v>1028</v>
      </c>
      <c r="G134" s="14" t="s">
        <v>1029</v>
      </c>
      <c r="H134" s="14" t="s">
        <v>1027</v>
      </c>
      <c r="I134" s="6" t="s">
        <v>1016</v>
      </c>
      <c r="J134" s="6" t="s">
        <v>599</v>
      </c>
      <c r="K134" s="6">
        <v>2</v>
      </c>
      <c r="L134" s="6">
        <v>1</v>
      </c>
      <c r="M134" s="6" t="str" cm="1">
        <f t="array" ref="M134">_xlfn.SWITCH(L134,
1,"resident",
1.5,"resident and short-distance migrant",
2,"short-distance migrant",
2.5,"short- and long-distance migrant",
3,"long-distance migrant",
"")</f>
        <v>resident</v>
      </c>
      <c r="N134" s="6"/>
      <c r="O134" s="6" t="s">
        <v>1017</v>
      </c>
      <c r="P134" s="6"/>
      <c r="Q134" s="6" t="str">
        <f t="shared" si="11"/>
        <v>Buntings</v>
      </c>
      <c r="R134" s="6">
        <v>80.369515010000001</v>
      </c>
      <c r="S134" s="6">
        <v>56.258660509999999</v>
      </c>
      <c r="T134" s="6">
        <v>63.879907619999997</v>
      </c>
      <c r="U134" s="6">
        <f t="shared" si="12"/>
        <v>200.50808314</v>
      </c>
      <c r="V134" s="7">
        <f t="shared" si="14"/>
        <v>4358.8713726086953</v>
      </c>
      <c r="W134" s="6" t="s">
        <v>30</v>
      </c>
      <c r="X134" s="6" t="s">
        <v>30</v>
      </c>
      <c r="Y134" s="6" t="s">
        <v>24</v>
      </c>
      <c r="Z134" s="6" t="s">
        <v>164</v>
      </c>
      <c r="AA134" s="6"/>
      <c r="AB134" s="6"/>
      <c r="AC134" s="6"/>
      <c r="AD134" s="6"/>
      <c r="AE134" s="6" t="str">
        <f t="shared" si="13"/>
        <v/>
      </c>
      <c r="AF134" s="6"/>
    </row>
    <row r="135" spans="1:72">
      <c r="A135" s="6">
        <v>225</v>
      </c>
      <c r="B135" s="6">
        <v>225</v>
      </c>
      <c r="C135" s="6">
        <v>18570</v>
      </c>
      <c r="D135" s="6" t="s">
        <v>1013</v>
      </c>
      <c r="E135" s="11" t="s">
        <v>1014</v>
      </c>
      <c r="F135" s="14" t="s">
        <v>1015</v>
      </c>
      <c r="G135" s="14" t="s">
        <v>1015</v>
      </c>
      <c r="H135" s="14" t="s">
        <v>1014</v>
      </c>
      <c r="I135" s="6" t="s">
        <v>1016</v>
      </c>
      <c r="J135" s="6" t="s">
        <v>599</v>
      </c>
      <c r="K135" s="6">
        <v>2</v>
      </c>
      <c r="L135" s="6">
        <v>1</v>
      </c>
      <c r="M135" s="6" t="str" cm="1">
        <f t="array" ref="M135">_xlfn.SWITCH(L135,
1,"resident",
1.5,"resident and short-distance migrant",
2,"short-distance migrant",
2.5,"short- and long-distance migrant",
3,"long-distance migrant",
"")</f>
        <v>resident</v>
      </c>
      <c r="N135" s="6"/>
      <c r="O135" s="6" t="s">
        <v>1017</v>
      </c>
      <c r="P135" s="6"/>
      <c r="Q135" s="6" t="str">
        <f t="shared" si="11"/>
        <v>Buntings</v>
      </c>
      <c r="R135" s="6">
        <v>93.441108549999996</v>
      </c>
      <c r="S135" s="6">
        <v>95.150115470000003</v>
      </c>
      <c r="T135" s="6">
        <v>96.073903000000001</v>
      </c>
      <c r="U135" s="6">
        <f t="shared" si="12"/>
        <v>284.66512702</v>
      </c>
      <c r="V135" s="7">
        <f t="shared" si="14"/>
        <v>6188.3723265217395</v>
      </c>
      <c r="W135" s="6" t="s">
        <v>24</v>
      </c>
      <c r="X135" s="6" t="s">
        <v>24</v>
      </c>
      <c r="Y135" s="6" t="s">
        <v>24</v>
      </c>
      <c r="Z135" s="6" t="s">
        <v>25</v>
      </c>
      <c r="AA135" s="6"/>
      <c r="AB135" s="6"/>
      <c r="AC135" s="6"/>
      <c r="AD135" s="6"/>
      <c r="AE135" s="6" t="str">
        <f t="shared" si="13"/>
        <v/>
      </c>
      <c r="AF135" s="6"/>
    </row>
    <row r="136" spans="1:72" s="2" customFormat="1">
      <c r="A136" s="5">
        <v>226</v>
      </c>
      <c r="B136" s="5">
        <v>226</v>
      </c>
      <c r="C136" s="5">
        <v>18660</v>
      </c>
      <c r="D136" s="5" t="s">
        <v>1018</v>
      </c>
      <c r="E136" s="16" t="s">
        <v>1019</v>
      </c>
      <c r="F136" s="17" t="s">
        <v>1020</v>
      </c>
      <c r="G136" s="17" t="s">
        <v>1021</v>
      </c>
      <c r="H136" s="17" t="s">
        <v>1019</v>
      </c>
      <c r="I136" s="5" t="s">
        <v>1016</v>
      </c>
      <c r="J136" s="5" t="s">
        <v>599</v>
      </c>
      <c r="K136" s="5">
        <v>3</v>
      </c>
      <c r="L136" s="5"/>
      <c r="M136" s="5" t="str" cm="1">
        <f t="array" ref="M136">_xlfn.SWITCH(L136,
1,"resident",
1.5,"resident and short-distance migrant",
2,"short-distance migrant",
2.5,"short- and long-distance migrant",
3,"long-distance migrant",
"")</f>
        <v/>
      </c>
      <c r="N136" s="5"/>
      <c r="O136" s="5"/>
      <c r="P136" s="5"/>
      <c r="Q136" s="5"/>
      <c r="R136" s="5">
        <v>0</v>
      </c>
      <c r="S136" s="5">
        <v>0</v>
      </c>
      <c r="T136" s="5">
        <v>0</v>
      </c>
      <c r="U136" s="5">
        <f t="shared" si="12"/>
        <v>0</v>
      </c>
      <c r="V136" s="18">
        <f t="shared" si="14"/>
        <v>0</v>
      </c>
      <c r="W136" s="5" t="s">
        <v>50</v>
      </c>
      <c r="X136" s="5" t="s">
        <v>50</v>
      </c>
      <c r="Y136" s="5" t="s">
        <v>50</v>
      </c>
      <c r="Z136" s="5" t="s">
        <v>51</v>
      </c>
      <c r="AA136" s="5" t="s">
        <v>1048</v>
      </c>
      <c r="AB136" s="5">
        <v>1</v>
      </c>
      <c r="AC136" s="5"/>
      <c r="AD136" s="5"/>
      <c r="AE136" s="5">
        <f t="shared" si="13"/>
        <v>1</v>
      </c>
      <c r="AF136" s="5"/>
      <c r="AG136" s="2">
        <v>1</v>
      </c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</row>
    <row r="137" spans="1:72">
      <c r="A137" s="6">
        <v>227</v>
      </c>
      <c r="B137" s="6">
        <v>227</v>
      </c>
      <c r="C137" s="6">
        <v>18770</v>
      </c>
      <c r="D137" s="6" t="s">
        <v>1022</v>
      </c>
      <c r="E137" s="11" t="s">
        <v>1023</v>
      </c>
      <c r="F137" s="14" t="s">
        <v>1024</v>
      </c>
      <c r="G137" s="14" t="s">
        <v>1025</v>
      </c>
      <c r="H137" s="14" t="s">
        <v>1023</v>
      </c>
      <c r="I137" s="6" t="s">
        <v>1016</v>
      </c>
      <c r="J137" s="6" t="s">
        <v>599</v>
      </c>
      <c r="K137" s="6">
        <v>2</v>
      </c>
      <c r="L137" s="6">
        <v>1.5</v>
      </c>
      <c r="M137" s="6" t="str" cm="1">
        <f t="array" ref="M137">_xlfn.SWITCH(L137,
1,"resident",
1.5,"resident and short-distance migrant",
2,"short-distance migrant",
2.5,"short- and long-distance migrant",
3,"long-distance migrant",
"")</f>
        <v>resident and short-distance migrant</v>
      </c>
      <c r="N137" s="6"/>
      <c r="O137" s="6" t="s">
        <v>1017</v>
      </c>
      <c r="P137" s="6"/>
      <c r="Q137" s="6" t="str">
        <f t="shared" ref="Q137:Q159" si="15">IF(NOT(ISBLANK(P137)), P137, IF(NOT(ISBLANK(O137)), O137, N137))</f>
        <v>Buntings</v>
      </c>
      <c r="R137" s="6">
        <v>73.903002310000005</v>
      </c>
      <c r="S137" s="6">
        <v>75.33487298</v>
      </c>
      <c r="T137" s="6">
        <v>76.859122400000004</v>
      </c>
      <c r="U137" s="6">
        <f t="shared" si="12"/>
        <v>226.09699769000002</v>
      </c>
      <c r="V137" s="7">
        <f t="shared" si="14"/>
        <v>4915.1521236956523</v>
      </c>
      <c r="W137" s="6" t="s">
        <v>24</v>
      </c>
      <c r="X137" s="6" t="s">
        <v>24</v>
      </c>
      <c r="Y137" s="6" t="s">
        <v>24</v>
      </c>
      <c r="Z137" s="6" t="s">
        <v>25</v>
      </c>
      <c r="AA137" s="6"/>
      <c r="AB137" s="6"/>
      <c r="AC137" s="6"/>
      <c r="AD137" s="6"/>
      <c r="AE137" s="6" t="str">
        <f t="shared" si="13"/>
        <v/>
      </c>
      <c r="AF137" s="6"/>
    </row>
    <row r="138" spans="1:72">
      <c r="A138" s="6">
        <v>146</v>
      </c>
      <c r="B138" s="6">
        <v>146</v>
      </c>
      <c r="C138" s="6">
        <v>10990</v>
      </c>
      <c r="D138" s="6" t="s">
        <v>675</v>
      </c>
      <c r="E138" s="11" t="s">
        <v>676</v>
      </c>
      <c r="F138" s="14" t="s">
        <v>677</v>
      </c>
      <c r="G138" s="14" t="s">
        <v>678</v>
      </c>
      <c r="H138" s="14" t="s">
        <v>676</v>
      </c>
      <c r="I138" s="6" t="s">
        <v>679</v>
      </c>
      <c r="J138" s="6" t="s">
        <v>599</v>
      </c>
      <c r="K138" s="6">
        <v>3</v>
      </c>
      <c r="L138" s="6">
        <v>1</v>
      </c>
      <c r="M138" s="6" t="str" cm="1">
        <f t="array" ref="M138">_xlfn.SWITCH(L138,
1,"resident",
1.5,"resident and short-distance migrant",
2,"short-distance migrant",
2.5,"short- and long-distance migrant",
3,"long-distance migrant",
"")</f>
        <v>resident</v>
      </c>
      <c r="N138" s="6" t="s">
        <v>674</v>
      </c>
      <c r="O138" s="6" t="s">
        <v>630</v>
      </c>
      <c r="P138" s="6"/>
      <c r="Q138" s="6" t="str">
        <f t="shared" si="15"/>
        <v>Low flycatching feeders</v>
      </c>
      <c r="R138" s="6">
        <v>77.182448039999997</v>
      </c>
      <c r="S138" s="6">
        <v>88.129330249999995</v>
      </c>
      <c r="T138" s="6">
        <v>91.085450350000002</v>
      </c>
      <c r="U138" s="6">
        <f t="shared" si="12"/>
        <v>256.39722863999998</v>
      </c>
      <c r="V138" s="7">
        <f t="shared" si="14"/>
        <v>5573.852796521739</v>
      </c>
      <c r="W138" s="6" t="s">
        <v>24</v>
      </c>
      <c r="X138" s="6" t="s">
        <v>24</v>
      </c>
      <c r="Y138" s="6" t="s">
        <v>24</v>
      </c>
      <c r="Z138" s="6" t="s">
        <v>25</v>
      </c>
      <c r="AA138" s="6"/>
      <c r="AB138" s="6"/>
      <c r="AC138" s="6"/>
      <c r="AD138" s="6"/>
      <c r="AE138" s="6" t="str">
        <f t="shared" si="13"/>
        <v/>
      </c>
      <c r="AF138" s="6"/>
    </row>
    <row r="139" spans="1:72" s="2" customFormat="1">
      <c r="A139" s="5">
        <v>183</v>
      </c>
      <c r="B139" s="5">
        <v>183</v>
      </c>
      <c r="C139" s="5">
        <v>13480</v>
      </c>
      <c r="D139" s="5" t="s">
        <v>831</v>
      </c>
      <c r="E139" s="16" t="s">
        <v>832</v>
      </c>
      <c r="F139" s="17" t="s">
        <v>833</v>
      </c>
      <c r="G139" s="17" t="s">
        <v>834</v>
      </c>
      <c r="H139" s="17" t="s">
        <v>832</v>
      </c>
      <c r="I139" s="5" t="s">
        <v>679</v>
      </c>
      <c r="J139" s="5" t="s">
        <v>599</v>
      </c>
      <c r="K139" s="5">
        <v>3</v>
      </c>
      <c r="L139" s="5"/>
      <c r="M139" s="5" t="str" cm="1">
        <f t="array" ref="M139">_xlfn.SWITCH(L139,
1,"resident",
1.5,"resident and short-distance migrant",
2,"short-distance migrant",
2.5,"short- and long-distance migrant",
3,"long-distance migrant",
"")</f>
        <v/>
      </c>
      <c r="N139" s="5"/>
      <c r="O139" s="5"/>
      <c r="P139" s="5" t="s">
        <v>826</v>
      </c>
      <c r="Q139" s="5" t="str">
        <f t="shared" si="15"/>
        <v>Flycatchers</v>
      </c>
      <c r="R139" s="5">
        <v>0</v>
      </c>
      <c r="S139" s="5">
        <v>4.6189375999999997E-2</v>
      </c>
      <c r="T139" s="5">
        <v>0</v>
      </c>
      <c r="U139" s="5">
        <f t="shared" si="12"/>
        <v>4.6189375999999997E-2</v>
      </c>
      <c r="V139" s="18">
        <f t="shared" si="14"/>
        <v>1.0041168695652174</v>
      </c>
      <c r="W139" s="5" t="s">
        <v>50</v>
      </c>
      <c r="X139" s="5" t="s">
        <v>24</v>
      </c>
      <c r="Y139" s="5" t="s">
        <v>30</v>
      </c>
      <c r="Z139" s="5" t="s">
        <v>31</v>
      </c>
      <c r="AA139" s="5" t="s">
        <v>1047</v>
      </c>
      <c r="AB139" s="5"/>
      <c r="AC139" s="5"/>
      <c r="AD139" s="5">
        <v>1</v>
      </c>
      <c r="AE139" s="5">
        <f t="shared" si="13"/>
        <v>1</v>
      </c>
      <c r="AF139" s="5"/>
      <c r="AG139" s="2">
        <v>1</v>
      </c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</row>
    <row r="140" spans="1:72">
      <c r="A140" s="6">
        <v>184</v>
      </c>
      <c r="B140" s="6">
        <v>184</v>
      </c>
      <c r="C140" s="6">
        <v>13490</v>
      </c>
      <c r="D140" s="6" t="s">
        <v>835</v>
      </c>
      <c r="E140" s="11" t="s">
        <v>836</v>
      </c>
      <c r="F140" s="14" t="s">
        <v>837</v>
      </c>
      <c r="G140" s="14" t="s">
        <v>838</v>
      </c>
      <c r="H140" s="14" t="s">
        <v>836</v>
      </c>
      <c r="I140" s="6" t="s">
        <v>679</v>
      </c>
      <c r="J140" s="6" t="s">
        <v>599</v>
      </c>
      <c r="K140" s="6">
        <v>3</v>
      </c>
      <c r="L140" s="6">
        <v>3</v>
      </c>
      <c r="M140" s="6" t="str" cm="1">
        <f t="array" ref="M140">_xlfn.SWITCH(L140,
1,"resident",
1.5,"resident and short-distance migrant",
2,"short-distance migrant",
2.5,"short- and long-distance migrant",
3,"long-distance migrant",
"")</f>
        <v>long-distance migrant</v>
      </c>
      <c r="N140" s="6"/>
      <c r="O140" s="6" t="s">
        <v>826</v>
      </c>
      <c r="P140" s="6"/>
      <c r="Q140" s="6" t="str">
        <f t="shared" si="15"/>
        <v>Flycatchers</v>
      </c>
      <c r="R140" s="6">
        <v>23.879907620000001</v>
      </c>
      <c r="S140" s="6">
        <v>31.870669750000001</v>
      </c>
      <c r="T140" s="6">
        <v>14.08775982</v>
      </c>
      <c r="U140" s="6">
        <f t="shared" si="12"/>
        <v>69.838337190000004</v>
      </c>
      <c r="V140" s="7">
        <f t="shared" si="14"/>
        <v>1518.2247215217392</v>
      </c>
      <c r="W140" s="6" t="s">
        <v>30</v>
      </c>
      <c r="X140" s="6" t="s">
        <v>24</v>
      </c>
      <c r="Y140" s="6" t="s">
        <v>30</v>
      </c>
      <c r="Z140" s="6" t="s">
        <v>31</v>
      </c>
      <c r="AA140" s="6"/>
      <c r="AB140" s="6"/>
      <c r="AC140" s="6"/>
      <c r="AD140" s="6"/>
      <c r="AE140" s="6" t="str">
        <f t="shared" si="13"/>
        <v/>
      </c>
      <c r="AF140" s="6"/>
    </row>
    <row r="141" spans="1:72">
      <c r="A141" s="6">
        <v>182</v>
      </c>
      <c r="B141" s="6">
        <v>182</v>
      </c>
      <c r="C141" s="6">
        <v>13430</v>
      </c>
      <c r="D141" s="6" t="s">
        <v>827</v>
      </c>
      <c r="E141" s="11" t="s">
        <v>828</v>
      </c>
      <c r="F141" s="14" t="s">
        <v>829</v>
      </c>
      <c r="G141" s="14" t="s">
        <v>830</v>
      </c>
      <c r="H141" s="14" t="s">
        <v>828</v>
      </c>
      <c r="I141" s="6" t="s">
        <v>679</v>
      </c>
      <c r="J141" s="6" t="s">
        <v>599</v>
      </c>
      <c r="K141" s="6">
        <v>3</v>
      </c>
      <c r="L141" s="6">
        <v>3</v>
      </c>
      <c r="M141" s="6" t="str" cm="1">
        <f t="array" ref="M141">_xlfn.SWITCH(L141,
1,"resident",
1.5,"resident and short-distance migrant",
2,"short-distance migrant",
2.5,"short- and long-distance migrant",
3,"long-distance migrant",
"")</f>
        <v>long-distance migrant</v>
      </c>
      <c r="N141" s="6"/>
      <c r="O141" s="6" t="s">
        <v>826</v>
      </c>
      <c r="P141" s="6"/>
      <c r="Q141" s="6" t="str">
        <f t="shared" si="15"/>
        <v>Flycatchers</v>
      </c>
      <c r="R141" s="6">
        <v>0.36951501199999998</v>
      </c>
      <c r="S141" s="6">
        <v>0.60046189400000005</v>
      </c>
      <c r="T141" s="6">
        <v>0.60046189400000005</v>
      </c>
      <c r="U141" s="6">
        <f t="shared" si="12"/>
        <v>1.5704388000000002</v>
      </c>
      <c r="V141" s="7">
        <f t="shared" si="14"/>
        <v>34.139973913043484</v>
      </c>
      <c r="W141" s="6" t="s">
        <v>24</v>
      </c>
      <c r="X141" s="6" t="s">
        <v>24</v>
      </c>
      <c r="Y141" s="6" t="s">
        <v>50</v>
      </c>
      <c r="Z141" s="6" t="s">
        <v>228</v>
      </c>
      <c r="AA141" s="6"/>
      <c r="AB141" s="6"/>
      <c r="AC141" s="6"/>
      <c r="AD141" s="6"/>
      <c r="AE141" s="6" t="str">
        <f t="shared" si="13"/>
        <v/>
      </c>
      <c r="AF141" s="6"/>
    </row>
    <row r="142" spans="1:72">
      <c r="A142" s="6">
        <v>211</v>
      </c>
      <c r="B142" s="6">
        <v>211</v>
      </c>
      <c r="C142" s="6">
        <v>16360</v>
      </c>
      <c r="D142" s="6" t="s">
        <v>958</v>
      </c>
      <c r="E142" s="11" t="s">
        <v>959</v>
      </c>
      <c r="F142" s="14" t="s">
        <v>960</v>
      </c>
      <c r="G142" s="14" t="s">
        <v>961</v>
      </c>
      <c r="H142" s="14" t="s">
        <v>959</v>
      </c>
      <c r="I142" s="6" t="s">
        <v>962</v>
      </c>
      <c r="J142" s="6" t="s">
        <v>599</v>
      </c>
      <c r="K142" s="6">
        <v>2</v>
      </c>
      <c r="L142" s="6">
        <v>1.5</v>
      </c>
      <c r="M142" s="6" t="str" cm="1">
        <f t="array" ref="M142">_xlfn.SWITCH(L142,
1,"resident",
1.5,"resident and short-distance migrant",
2,"short-distance migrant",
2.5,"short- and long-distance migrant",
3,"long-distance migrant",
"")</f>
        <v>resident and short-distance migrant</v>
      </c>
      <c r="N142" s="6" t="s">
        <v>774</v>
      </c>
      <c r="O142" s="6" t="s">
        <v>774</v>
      </c>
      <c r="P142" s="6"/>
      <c r="Q142" s="6" t="str">
        <f t="shared" si="15"/>
        <v>Foliage gleaners</v>
      </c>
      <c r="R142" s="6">
        <v>91.916859119999998</v>
      </c>
      <c r="S142" s="6">
        <v>96.720554269999994</v>
      </c>
      <c r="T142" s="6">
        <v>97.090069279999994</v>
      </c>
      <c r="U142" s="6">
        <f t="shared" si="12"/>
        <v>285.72748266999997</v>
      </c>
      <c r="V142" s="7">
        <f t="shared" si="14"/>
        <v>6211.4670145652171</v>
      </c>
      <c r="W142" s="6" t="s">
        <v>24</v>
      </c>
      <c r="X142" s="6" t="s">
        <v>24</v>
      </c>
      <c r="Y142" s="6" t="s">
        <v>24</v>
      </c>
      <c r="Z142" s="6" t="s">
        <v>25</v>
      </c>
      <c r="AA142" s="6"/>
      <c r="AB142" s="6"/>
      <c r="AC142" s="6"/>
      <c r="AD142" s="6"/>
      <c r="AE142" s="6" t="str">
        <f t="shared" si="13"/>
        <v/>
      </c>
      <c r="AF142" s="6"/>
    </row>
    <row r="143" spans="1:72">
      <c r="A143" s="6">
        <v>212</v>
      </c>
      <c r="B143" s="6">
        <v>212</v>
      </c>
      <c r="C143" s="6">
        <v>16380</v>
      </c>
      <c r="D143" s="6" t="s">
        <v>963</v>
      </c>
      <c r="E143" s="11" t="s">
        <v>964</v>
      </c>
      <c r="F143" s="14" t="s">
        <v>965</v>
      </c>
      <c r="G143" s="14" t="s">
        <v>965</v>
      </c>
      <c r="H143" s="14" t="s">
        <v>964</v>
      </c>
      <c r="I143" s="6" t="s">
        <v>962</v>
      </c>
      <c r="J143" s="6" t="s">
        <v>599</v>
      </c>
      <c r="K143" s="6">
        <v>3</v>
      </c>
      <c r="L143" s="6">
        <v>2</v>
      </c>
      <c r="M143" s="6" t="str" cm="1">
        <f t="array" ref="M143">_xlfn.SWITCH(L143,
1,"resident",
1.5,"resident and short-distance migrant",
2,"short-distance migrant",
2.5,"short- and long-distance migrant",
3,"long-distance migrant",
"")</f>
        <v>short-distance migrant</v>
      </c>
      <c r="N143" s="6" t="s">
        <v>774</v>
      </c>
      <c r="O143" s="6" t="s">
        <v>774</v>
      </c>
      <c r="P143" s="6"/>
      <c r="Q143" s="6" t="str">
        <f t="shared" si="15"/>
        <v>Foliage gleaners</v>
      </c>
      <c r="R143" s="6">
        <v>0.87759815200000002</v>
      </c>
      <c r="S143" s="6">
        <v>0.18475750599999999</v>
      </c>
      <c r="T143" s="6">
        <v>0</v>
      </c>
      <c r="U143" s="6">
        <f t="shared" si="12"/>
        <v>1.062355658</v>
      </c>
      <c r="V143" s="7">
        <f t="shared" si="14"/>
        <v>23.094688217391305</v>
      </c>
      <c r="W143" s="6" t="s">
        <v>30</v>
      </c>
      <c r="X143" s="6" t="s">
        <v>30</v>
      </c>
      <c r="Y143" s="6" t="s">
        <v>30</v>
      </c>
      <c r="Z143" s="6" t="s">
        <v>84</v>
      </c>
      <c r="AA143" s="6"/>
      <c r="AB143" s="6"/>
      <c r="AC143" s="6"/>
      <c r="AD143" s="6"/>
      <c r="AE143" s="6" t="str">
        <f t="shared" si="13"/>
        <v/>
      </c>
      <c r="AF143" s="6"/>
    </row>
    <row r="144" spans="1:72">
      <c r="A144" s="6">
        <v>128</v>
      </c>
      <c r="B144" s="6">
        <v>128</v>
      </c>
      <c r="C144" s="6">
        <v>9720</v>
      </c>
      <c r="D144" s="6" t="s">
        <v>594</v>
      </c>
      <c r="E144" s="11" t="s">
        <v>595</v>
      </c>
      <c r="F144" s="14" t="s">
        <v>596</v>
      </c>
      <c r="G144" s="14" t="s">
        <v>597</v>
      </c>
      <c r="H144" s="14" t="s">
        <v>595</v>
      </c>
      <c r="I144" s="6" t="s">
        <v>598</v>
      </c>
      <c r="J144" s="6" t="s">
        <v>599</v>
      </c>
      <c r="K144" s="6">
        <v>1</v>
      </c>
      <c r="L144" s="6">
        <v>1</v>
      </c>
      <c r="M144" s="6" t="str" cm="1">
        <f t="array" ref="M144">_xlfn.SWITCH(L144,
1,"resident",
1.5,"resident and short-distance migrant",
2,"short-distance migrant",
2.5,"short- and long-distance migrant",
3,"long-distance migrant",
"")</f>
        <v>resident</v>
      </c>
      <c r="N144" s="6" t="s">
        <v>600</v>
      </c>
      <c r="O144" s="6"/>
      <c r="P144" s="6"/>
      <c r="Q144" s="6" t="str">
        <f t="shared" si="15"/>
        <v>Open-land insectivores</v>
      </c>
      <c r="R144" s="6">
        <v>8.5912240180000001</v>
      </c>
      <c r="S144" s="6">
        <v>1.7551963049999999</v>
      </c>
      <c r="T144" s="6">
        <v>4.6189375999999997E-2</v>
      </c>
      <c r="U144" s="6">
        <f t="shared" si="12"/>
        <v>10.392609698999999</v>
      </c>
      <c r="V144" s="7">
        <f t="shared" si="14"/>
        <v>225.92629780434783</v>
      </c>
      <c r="W144" s="6" t="s">
        <v>30</v>
      </c>
      <c r="X144" s="6" t="s">
        <v>30</v>
      </c>
      <c r="Y144" s="6" t="s">
        <v>30</v>
      </c>
      <c r="Z144" s="6" t="s">
        <v>84</v>
      </c>
      <c r="AA144" s="6"/>
      <c r="AB144" s="6"/>
      <c r="AC144" s="6"/>
      <c r="AD144" s="6"/>
      <c r="AE144" s="6" t="str">
        <f t="shared" si="13"/>
        <v/>
      </c>
      <c r="AF144" s="6"/>
    </row>
    <row r="145" spans="1:72">
      <c r="A145" s="6">
        <v>200</v>
      </c>
      <c r="B145" s="6">
        <v>200</v>
      </c>
      <c r="C145" s="6">
        <v>15390</v>
      </c>
      <c r="D145" s="6" t="s">
        <v>910</v>
      </c>
      <c r="E145" s="11" t="s">
        <v>911</v>
      </c>
      <c r="F145" s="14" t="s">
        <v>912</v>
      </c>
      <c r="G145" s="14" t="s">
        <v>913</v>
      </c>
      <c r="H145" s="14" t="s">
        <v>911</v>
      </c>
      <c r="I145" s="6" t="s">
        <v>647</v>
      </c>
      <c r="J145" s="6" t="s">
        <v>599</v>
      </c>
      <c r="K145" s="6">
        <v>2</v>
      </c>
      <c r="L145" s="6">
        <v>1</v>
      </c>
      <c r="M145" s="6" t="str" cm="1">
        <f t="array" ref="M145">_xlfn.SWITCH(L145,
1,"resident",
1.5,"resident and short-distance migrant",
2,"short-distance migrant",
2.5,"short- and long-distance migrant",
3,"long-distance migrant",
"")</f>
        <v>resident</v>
      </c>
      <c r="N145" s="6" t="s">
        <v>914</v>
      </c>
      <c r="O145" s="6" t="s">
        <v>914</v>
      </c>
      <c r="P145" s="6"/>
      <c r="Q145" s="6" t="str">
        <f t="shared" si="15"/>
        <v>Omnivorous corvids</v>
      </c>
      <c r="R145" s="6">
        <v>44.711316400000001</v>
      </c>
      <c r="S145" s="6">
        <v>62.771362590000003</v>
      </c>
      <c r="T145" s="6">
        <v>52.240184759999998</v>
      </c>
      <c r="U145" s="6">
        <f t="shared" si="12"/>
        <v>159.72286375000002</v>
      </c>
      <c r="V145" s="7">
        <f t="shared" si="14"/>
        <v>3472.2361684782613</v>
      </c>
      <c r="W145" s="6" t="s">
        <v>24</v>
      </c>
      <c r="X145" s="6" t="s">
        <v>24</v>
      </c>
      <c r="Y145" s="6" t="s">
        <v>30</v>
      </c>
      <c r="Z145" s="6" t="s">
        <v>31</v>
      </c>
      <c r="AA145" s="6"/>
      <c r="AB145" s="6"/>
      <c r="AC145" s="6"/>
      <c r="AD145" s="6"/>
      <c r="AE145" s="6" t="str">
        <f t="shared" si="13"/>
        <v/>
      </c>
      <c r="AF145" s="6"/>
    </row>
    <row r="146" spans="1:72">
      <c r="A146" s="6">
        <v>169</v>
      </c>
      <c r="B146" s="6">
        <v>169</v>
      </c>
      <c r="C146" s="6">
        <v>12590</v>
      </c>
      <c r="D146" s="6" t="s">
        <v>770</v>
      </c>
      <c r="E146" s="11" t="s">
        <v>771</v>
      </c>
      <c r="F146" s="14" t="s">
        <v>772</v>
      </c>
      <c r="G146" s="14" t="s">
        <v>773</v>
      </c>
      <c r="H146" s="14" t="s">
        <v>771</v>
      </c>
      <c r="I146" s="6" t="s">
        <v>753</v>
      </c>
      <c r="J146" s="6" t="s">
        <v>599</v>
      </c>
      <c r="K146" s="6">
        <v>3</v>
      </c>
      <c r="L146" s="6">
        <v>3</v>
      </c>
      <c r="M146" s="6" t="str" cm="1">
        <f t="array" ref="M146">_xlfn.SWITCH(L146,
1,"resident",
1.5,"resident and short-distance migrant",
2,"short-distance migrant",
2.5,"short- and long-distance migrant",
3,"long-distance migrant",
"")</f>
        <v>long-distance migrant</v>
      </c>
      <c r="N146" s="6" t="s">
        <v>774</v>
      </c>
      <c r="O146" s="6" t="s">
        <v>774</v>
      </c>
      <c r="P146" s="6"/>
      <c r="Q146" s="6" t="str">
        <f t="shared" si="15"/>
        <v>Foliage gleaners</v>
      </c>
      <c r="R146" s="6">
        <v>76.027713629999994</v>
      </c>
      <c r="S146" s="6">
        <v>75.981524250000007</v>
      </c>
      <c r="T146" s="6">
        <v>78.891454969999998</v>
      </c>
      <c r="U146" s="6">
        <f t="shared" si="12"/>
        <v>230.90069284999998</v>
      </c>
      <c r="V146" s="7">
        <f t="shared" si="14"/>
        <v>5019.580279347826</v>
      </c>
      <c r="W146" s="6" t="s">
        <v>24</v>
      </c>
      <c r="X146" s="6" t="s">
        <v>30</v>
      </c>
      <c r="Y146" s="6" t="s">
        <v>24</v>
      </c>
      <c r="Z146" s="6" t="s">
        <v>164</v>
      </c>
      <c r="AA146" s="6"/>
      <c r="AB146" s="6"/>
      <c r="AC146" s="6"/>
      <c r="AD146" s="6"/>
      <c r="AE146" s="6" t="str">
        <f t="shared" si="13"/>
        <v/>
      </c>
      <c r="AF146" s="6"/>
    </row>
    <row r="147" spans="1:72">
      <c r="A147" s="6">
        <v>132</v>
      </c>
      <c r="B147" s="6">
        <v>132</v>
      </c>
      <c r="C147" s="6">
        <v>9920</v>
      </c>
      <c r="D147" s="6" t="s">
        <v>613</v>
      </c>
      <c r="E147" s="11" t="s">
        <v>614</v>
      </c>
      <c r="F147" s="14" t="s">
        <v>615</v>
      </c>
      <c r="G147" s="14" t="s">
        <v>616</v>
      </c>
      <c r="H147" s="14" t="s">
        <v>614</v>
      </c>
      <c r="I147" s="6" t="s">
        <v>612</v>
      </c>
      <c r="J147" s="6" t="s">
        <v>599</v>
      </c>
      <c r="K147" s="6">
        <v>3</v>
      </c>
      <c r="L147" s="6">
        <v>3</v>
      </c>
      <c r="M147" s="6" t="str" cm="1">
        <f t="array" ref="M147">_xlfn.SWITCH(L147,
1,"resident",
1.5,"resident and short-distance migrant",
2,"short-distance migrant",
2.5,"short- and long-distance migrant",
3,"long-distance migrant",
"")</f>
        <v>long-distance migrant</v>
      </c>
      <c r="N147" s="6" t="s">
        <v>548</v>
      </c>
      <c r="O147" s="6" t="s">
        <v>548</v>
      </c>
      <c r="P147" s="6"/>
      <c r="Q147" s="6" t="str">
        <f t="shared" si="15"/>
        <v>Aerial insectivores</v>
      </c>
      <c r="R147" s="6">
        <v>89.745958430000002</v>
      </c>
      <c r="S147" s="6">
        <v>93.949191690000006</v>
      </c>
      <c r="T147" s="6">
        <v>94.226327940000004</v>
      </c>
      <c r="U147" s="6">
        <f t="shared" si="12"/>
        <v>277.92147806000003</v>
      </c>
      <c r="V147" s="7">
        <f t="shared" si="14"/>
        <v>6041.7712621739138</v>
      </c>
      <c r="W147" s="6" t="s">
        <v>24</v>
      </c>
      <c r="X147" s="6" t="s">
        <v>24</v>
      </c>
      <c r="Y147" s="6" t="s">
        <v>24</v>
      </c>
      <c r="Z147" s="6" t="s">
        <v>25</v>
      </c>
      <c r="AA147" s="6"/>
      <c r="AB147" s="6"/>
      <c r="AC147" s="6"/>
      <c r="AD147" s="6"/>
      <c r="AE147" s="6" t="str">
        <f t="shared" si="13"/>
        <v/>
      </c>
      <c r="AF147" s="6"/>
    </row>
    <row r="148" spans="1:72">
      <c r="A148" s="6">
        <v>198</v>
      </c>
      <c r="B148" s="6">
        <v>198</v>
      </c>
      <c r="C148" s="6">
        <v>15150</v>
      </c>
      <c r="D148" s="6" t="s">
        <v>900</v>
      </c>
      <c r="E148" s="11" t="s">
        <v>901</v>
      </c>
      <c r="F148" s="14" t="s">
        <v>902</v>
      </c>
      <c r="G148" s="14" t="s">
        <v>903</v>
      </c>
      <c r="H148" s="14" t="s">
        <v>901</v>
      </c>
      <c r="I148" s="6" t="s">
        <v>904</v>
      </c>
      <c r="J148" s="6" t="s">
        <v>599</v>
      </c>
      <c r="K148" s="6">
        <v>3</v>
      </c>
      <c r="L148" s="6">
        <v>3</v>
      </c>
      <c r="M148" s="6" t="str" cm="1">
        <f t="array" ref="M148">_xlfn.SWITCH(L148,
1,"resident",
1.5,"resident and short-distance migrant",
2,"short-distance migrant",
2.5,"short- and long-distance migrant",
3,"long-distance migrant",
"")</f>
        <v>long-distance migrant</v>
      </c>
      <c r="N148" s="6"/>
      <c r="O148" s="6" t="s">
        <v>905</v>
      </c>
      <c r="P148" s="6"/>
      <c r="Q148" s="6" t="str">
        <f t="shared" si="15"/>
        <v>Shrikes</v>
      </c>
      <c r="R148" s="6">
        <v>23.464203229999999</v>
      </c>
      <c r="S148" s="6">
        <v>27.759815239999998</v>
      </c>
      <c r="T148" s="6">
        <v>33.903002309999998</v>
      </c>
      <c r="U148" s="6">
        <f t="shared" si="12"/>
        <v>85.127020779999995</v>
      </c>
      <c r="V148" s="7">
        <f t="shared" si="14"/>
        <v>1850.5874082608696</v>
      </c>
      <c r="W148" s="6" t="s">
        <v>24</v>
      </c>
      <c r="X148" s="6" t="s">
        <v>24</v>
      </c>
      <c r="Y148" s="6" t="s">
        <v>24</v>
      </c>
      <c r="Z148" s="6" t="s">
        <v>25</v>
      </c>
      <c r="AA148" s="6"/>
      <c r="AB148" s="6"/>
      <c r="AC148" s="6"/>
      <c r="AD148" s="6"/>
      <c r="AE148" s="6" t="str">
        <f t="shared" si="13"/>
        <v/>
      </c>
      <c r="AF148" s="6"/>
    </row>
    <row r="149" spans="1:72">
      <c r="A149" s="6">
        <v>199</v>
      </c>
      <c r="B149" s="6">
        <v>199</v>
      </c>
      <c r="C149" s="6">
        <v>15200</v>
      </c>
      <c r="D149" s="6" t="s">
        <v>906</v>
      </c>
      <c r="E149" s="11" t="s">
        <v>907</v>
      </c>
      <c r="F149" s="14" t="s">
        <v>908</v>
      </c>
      <c r="G149" s="14" t="s">
        <v>909</v>
      </c>
      <c r="H149" s="14" t="s">
        <v>907</v>
      </c>
      <c r="I149" s="6" t="s">
        <v>904</v>
      </c>
      <c r="J149" s="6" t="s">
        <v>599</v>
      </c>
      <c r="K149" s="6">
        <v>3</v>
      </c>
      <c r="L149" s="6">
        <v>1</v>
      </c>
      <c r="M149" s="6" t="str" cm="1">
        <f t="array" ref="M149">_xlfn.SWITCH(L149,
1,"resident",
1.5,"resident and short-distance migrant",
2,"short-distance migrant",
2.5,"short- and long-distance migrant",
3,"long-distance migrant",
"")</f>
        <v>resident</v>
      </c>
      <c r="N149" s="6"/>
      <c r="O149" s="6" t="s">
        <v>905</v>
      </c>
      <c r="P149" s="6"/>
      <c r="Q149" s="6" t="str">
        <f t="shared" si="15"/>
        <v>Shrikes</v>
      </c>
      <c r="R149" s="6">
        <v>1.062355658</v>
      </c>
      <c r="S149" s="6">
        <v>0.83140877599999996</v>
      </c>
      <c r="T149" s="6">
        <v>0.277136259</v>
      </c>
      <c r="U149" s="6">
        <f t="shared" si="12"/>
        <v>2.1709006930000001</v>
      </c>
      <c r="V149" s="7">
        <f t="shared" si="14"/>
        <v>47.193493326086958</v>
      </c>
      <c r="W149" s="6" t="s">
        <v>30</v>
      </c>
      <c r="X149" s="6" t="s">
        <v>30</v>
      </c>
      <c r="Y149" s="6" t="s">
        <v>30</v>
      </c>
      <c r="Z149" s="6" t="s">
        <v>84</v>
      </c>
      <c r="AA149" s="6"/>
      <c r="AB149" s="6"/>
      <c r="AC149" s="6"/>
      <c r="AD149" s="6"/>
      <c r="AE149" s="6" t="str">
        <f t="shared" si="13"/>
        <v/>
      </c>
      <c r="AF149" s="6"/>
    </row>
    <row r="150" spans="1:72">
      <c r="A150" s="6">
        <v>217</v>
      </c>
      <c r="B150" s="6">
        <v>217</v>
      </c>
      <c r="C150" s="6">
        <v>16600</v>
      </c>
      <c r="D150" s="6" t="s">
        <v>982</v>
      </c>
      <c r="E150" s="11" t="s">
        <v>983</v>
      </c>
      <c r="F150" s="14" t="s">
        <v>984</v>
      </c>
      <c r="G150" s="14" t="s">
        <v>985</v>
      </c>
      <c r="H150" s="14" t="s">
        <v>983</v>
      </c>
      <c r="I150" s="6" t="s">
        <v>962</v>
      </c>
      <c r="J150" s="6" t="s">
        <v>599</v>
      </c>
      <c r="K150" s="6">
        <v>1</v>
      </c>
      <c r="L150" s="6">
        <v>2</v>
      </c>
      <c r="M150" s="6" t="str" cm="1">
        <f t="array" ref="M150">_xlfn.SWITCH(L150,
1,"resident",
1.5,"resident and short-distance migrant",
2,"short-distance migrant",
2.5,"short- and long-distance migrant",
3,"long-distance migrant",
"")</f>
        <v>short-distance migrant</v>
      </c>
      <c r="N150" s="6" t="s">
        <v>953</v>
      </c>
      <c r="O150" s="6" t="s">
        <v>953</v>
      </c>
      <c r="P150" s="6"/>
      <c r="Q150" s="6" t="str">
        <f t="shared" si="15"/>
        <v>Passerine seedeaters</v>
      </c>
      <c r="R150" s="6">
        <v>85.265588910000005</v>
      </c>
      <c r="S150" s="6">
        <v>92.101616629999995</v>
      </c>
      <c r="T150" s="6">
        <v>81.709006930000001</v>
      </c>
      <c r="U150" s="6">
        <f t="shared" si="12"/>
        <v>259.07621246999997</v>
      </c>
      <c r="V150" s="7">
        <f t="shared" si="14"/>
        <v>5632.0915754347825</v>
      </c>
      <c r="W150" s="6" t="s">
        <v>30</v>
      </c>
      <c r="X150" s="6" t="s">
        <v>24</v>
      </c>
      <c r="Y150" s="6" t="s">
        <v>30</v>
      </c>
      <c r="Z150" s="6" t="s">
        <v>31</v>
      </c>
      <c r="AA150" s="6"/>
      <c r="AB150" s="6"/>
      <c r="AC150" s="6"/>
      <c r="AD150" s="6"/>
      <c r="AE150" s="6" t="str">
        <f t="shared" si="13"/>
        <v/>
      </c>
      <c r="AF150" s="6"/>
    </row>
    <row r="151" spans="1:72">
      <c r="A151" s="6">
        <v>162</v>
      </c>
      <c r="B151" s="6">
        <v>162</v>
      </c>
      <c r="C151" s="6">
        <v>12370</v>
      </c>
      <c r="D151" s="6" t="s">
        <v>741</v>
      </c>
      <c r="E151" s="11" t="s">
        <v>742</v>
      </c>
      <c r="F151" s="14" t="s">
        <v>743</v>
      </c>
      <c r="G151" s="14" t="s">
        <v>744</v>
      </c>
      <c r="H151" s="14" t="s">
        <v>742</v>
      </c>
      <c r="I151" s="6" t="s">
        <v>739</v>
      </c>
      <c r="J151" s="6" t="s">
        <v>599</v>
      </c>
      <c r="K151" s="6">
        <v>3</v>
      </c>
      <c r="L151" s="6">
        <v>3</v>
      </c>
      <c r="M151" s="6" t="str" cm="1">
        <f t="array" ref="M151">_xlfn.SWITCH(L151,
1,"resident",
1.5,"resident and short-distance migrant",
2,"short-distance migrant",
2.5,"short- and long-distance migrant",
3,"long-distance migrant",
"")</f>
        <v>long-distance migrant</v>
      </c>
      <c r="N151" s="6" t="s">
        <v>740</v>
      </c>
      <c r="O151" s="6"/>
      <c r="P151" s="6"/>
      <c r="Q151" s="6" t="str">
        <f t="shared" si="15"/>
        <v>Marsh warblers</v>
      </c>
      <c r="R151" s="6">
        <v>0</v>
      </c>
      <c r="S151" s="6">
        <v>0.55427251700000002</v>
      </c>
      <c r="T151" s="6">
        <v>0.73903002299999998</v>
      </c>
      <c r="U151" s="6">
        <f t="shared" si="12"/>
        <v>1.29330254</v>
      </c>
      <c r="V151" s="7">
        <f t="shared" si="14"/>
        <v>28.115272608695651</v>
      </c>
      <c r="W151" s="6" t="s">
        <v>24</v>
      </c>
      <c r="X151" s="6" t="s">
        <v>24</v>
      </c>
      <c r="Y151" s="6" t="s">
        <v>24</v>
      </c>
      <c r="Z151" s="6" t="s">
        <v>25</v>
      </c>
      <c r="AA151" s="6"/>
      <c r="AB151" s="6"/>
      <c r="AC151" s="6"/>
      <c r="AD151" s="6"/>
      <c r="AE151" s="6" t="str">
        <f t="shared" si="13"/>
        <v/>
      </c>
      <c r="AF151" s="6"/>
    </row>
    <row r="152" spans="1:72">
      <c r="A152" s="6">
        <v>163</v>
      </c>
      <c r="B152" s="6">
        <v>163</v>
      </c>
      <c r="C152" s="6">
        <v>12380</v>
      </c>
      <c r="D152" s="6" t="s">
        <v>745</v>
      </c>
      <c r="E152" s="11" t="s">
        <v>746</v>
      </c>
      <c r="F152" s="14" t="s">
        <v>747</v>
      </c>
      <c r="G152" s="14" t="s">
        <v>748</v>
      </c>
      <c r="H152" s="14" t="s">
        <v>746</v>
      </c>
      <c r="I152" s="6" t="s">
        <v>739</v>
      </c>
      <c r="J152" s="6" t="s">
        <v>599</v>
      </c>
      <c r="K152" s="6">
        <v>3</v>
      </c>
      <c r="L152" s="6">
        <v>3</v>
      </c>
      <c r="M152" s="6" t="str" cm="1">
        <f t="array" ref="M152">_xlfn.SWITCH(L152,
1,"resident",
1.5,"resident and short-distance migrant",
2,"short-distance migrant",
2.5,"short- and long-distance migrant",
3,"long-distance migrant",
"")</f>
        <v>long-distance migrant</v>
      </c>
      <c r="N152" s="6" t="s">
        <v>740</v>
      </c>
      <c r="O152" s="6"/>
      <c r="P152" s="6"/>
      <c r="Q152" s="6" t="str">
        <f t="shared" si="15"/>
        <v>Marsh warblers</v>
      </c>
      <c r="R152" s="6">
        <v>1.3394919169999999</v>
      </c>
      <c r="S152" s="6">
        <v>1.0161662819999999</v>
      </c>
      <c r="T152" s="6">
        <v>0.64665127</v>
      </c>
      <c r="U152" s="6">
        <f t="shared" si="12"/>
        <v>3.0023094689999996</v>
      </c>
      <c r="V152" s="7">
        <f t="shared" si="14"/>
        <v>65.267597152173906</v>
      </c>
      <c r="W152" s="6" t="s">
        <v>30</v>
      </c>
      <c r="X152" s="6" t="s">
        <v>30</v>
      </c>
      <c r="Y152" s="6" t="s">
        <v>30</v>
      </c>
      <c r="Z152" s="6" t="s">
        <v>84</v>
      </c>
      <c r="AA152" s="6"/>
      <c r="AB152" s="6"/>
      <c r="AC152" s="6"/>
      <c r="AD152" s="6"/>
      <c r="AE152" s="6" t="str">
        <f t="shared" si="13"/>
        <v/>
      </c>
      <c r="AF152" s="6"/>
    </row>
    <row r="153" spans="1:72">
      <c r="A153" s="6">
        <v>161</v>
      </c>
      <c r="B153" s="6">
        <v>161</v>
      </c>
      <c r="C153" s="6">
        <v>12360</v>
      </c>
      <c r="D153" s="6" t="s">
        <v>735</v>
      </c>
      <c r="E153" s="11" t="s">
        <v>736</v>
      </c>
      <c r="F153" s="14" t="s">
        <v>737</v>
      </c>
      <c r="G153" s="14" t="s">
        <v>738</v>
      </c>
      <c r="H153" s="14" t="s">
        <v>736</v>
      </c>
      <c r="I153" s="6" t="s">
        <v>739</v>
      </c>
      <c r="J153" s="6" t="s">
        <v>599</v>
      </c>
      <c r="K153" s="6">
        <v>3</v>
      </c>
      <c r="L153" s="6">
        <v>3</v>
      </c>
      <c r="M153" s="6" t="str" cm="1">
        <f t="array" ref="M153">_xlfn.SWITCH(L153,
1,"resident",
1.5,"resident and short-distance migrant",
2,"short-distance migrant",
2.5,"short- and long-distance migrant",
3,"long-distance migrant",
"")</f>
        <v>long-distance migrant</v>
      </c>
      <c r="N153" s="6"/>
      <c r="O153" s="6" t="s">
        <v>740</v>
      </c>
      <c r="P153" s="6"/>
      <c r="Q153" s="6" t="str">
        <f t="shared" si="15"/>
        <v>Marsh warblers</v>
      </c>
      <c r="R153" s="6">
        <v>10.715935330000001</v>
      </c>
      <c r="S153" s="6">
        <v>19.49191686</v>
      </c>
      <c r="T153" s="6">
        <v>25.958429559999999</v>
      </c>
      <c r="U153" s="6">
        <f t="shared" si="12"/>
        <v>56.166281749999996</v>
      </c>
      <c r="V153" s="7">
        <f t="shared" si="14"/>
        <v>1221.0061249999999</v>
      </c>
      <c r="W153" s="6" t="s">
        <v>24</v>
      </c>
      <c r="X153" s="6" t="s">
        <v>24</v>
      </c>
      <c r="Y153" s="6" t="s">
        <v>24</v>
      </c>
      <c r="Z153" s="6" t="s">
        <v>25</v>
      </c>
      <c r="AA153" s="6"/>
      <c r="AB153" s="6"/>
      <c r="AC153" s="6"/>
      <c r="AD153" s="6"/>
      <c r="AE153" s="6" t="str">
        <f t="shared" si="13"/>
        <v/>
      </c>
      <c r="AF153" s="6"/>
    </row>
    <row r="154" spans="1:72">
      <c r="A154" s="6">
        <v>189</v>
      </c>
      <c r="B154" s="6">
        <v>189</v>
      </c>
      <c r="C154" s="6">
        <v>14540</v>
      </c>
      <c r="D154" s="6" t="s">
        <v>859</v>
      </c>
      <c r="E154" s="11" t="s">
        <v>860</v>
      </c>
      <c r="F154" s="14" t="s">
        <v>861</v>
      </c>
      <c r="G154" s="14" t="s">
        <v>862</v>
      </c>
      <c r="H154" s="14" t="s">
        <v>860</v>
      </c>
      <c r="I154" s="6" t="s">
        <v>854</v>
      </c>
      <c r="J154" s="6" t="s">
        <v>599</v>
      </c>
      <c r="K154" s="6">
        <v>1</v>
      </c>
      <c r="L154" s="6">
        <v>1</v>
      </c>
      <c r="M154" s="6" t="str" cm="1">
        <f t="array" ref="M154">_xlfn.SWITCH(L154,
1,"resident",
1.5,"resident and short-distance migrant",
2,"short-distance migrant",
2.5,"short- and long-distance migrant",
3,"long-distance migrant",
"")</f>
        <v>resident</v>
      </c>
      <c r="N154" s="6"/>
      <c r="O154" s="6" t="s">
        <v>817</v>
      </c>
      <c r="P154" s="6"/>
      <c r="Q154" s="6" t="str">
        <f t="shared" si="15"/>
        <v>Tit-like birds</v>
      </c>
      <c r="R154" s="6">
        <v>34.457274830000003</v>
      </c>
      <c r="S154" s="6">
        <v>39.722863740000001</v>
      </c>
      <c r="T154" s="6">
        <v>39.630484989999999</v>
      </c>
      <c r="U154" s="6">
        <f t="shared" si="12"/>
        <v>113.81062356</v>
      </c>
      <c r="V154" s="7">
        <f t="shared" si="14"/>
        <v>2474.1439904347826</v>
      </c>
      <c r="W154" s="6" t="s">
        <v>24</v>
      </c>
      <c r="X154" s="6" t="s">
        <v>24</v>
      </c>
      <c r="Y154" s="6" t="s">
        <v>30</v>
      </c>
      <c r="Z154" s="6" t="s">
        <v>31</v>
      </c>
      <c r="AA154" s="6"/>
      <c r="AB154" s="6"/>
      <c r="AC154" s="6"/>
      <c r="AD154" s="6"/>
      <c r="AE154" s="6" t="str">
        <f t="shared" si="13"/>
        <v/>
      </c>
      <c r="AF154" s="6"/>
    </row>
    <row r="155" spans="1:72">
      <c r="A155" s="6">
        <v>220</v>
      </c>
      <c r="B155" s="6">
        <v>220</v>
      </c>
      <c r="C155" s="6">
        <v>16660</v>
      </c>
      <c r="D155" s="6" t="s">
        <v>994</v>
      </c>
      <c r="E155" s="11" t="s">
        <v>995</v>
      </c>
      <c r="F155" s="14" t="s">
        <v>996</v>
      </c>
      <c r="G155" s="14" t="s">
        <v>997</v>
      </c>
      <c r="H155" s="14" t="s">
        <v>995</v>
      </c>
      <c r="I155" s="6" t="s">
        <v>962</v>
      </c>
      <c r="J155" s="6" t="s">
        <v>599</v>
      </c>
      <c r="K155" s="6">
        <v>2</v>
      </c>
      <c r="L155" s="6">
        <v>1.5</v>
      </c>
      <c r="M155" s="6" t="str" cm="1">
        <f t="array" ref="M155">_xlfn.SWITCH(L155,
1,"resident",
1.5,"resident and short-distance migrant",
2,"short-distance migrant",
2.5,"short- and long-distance migrant",
3,"long-distance migrant",
"")</f>
        <v>resident and short-distance migrant</v>
      </c>
      <c r="N155" s="6"/>
      <c r="O155" s="6" t="s">
        <v>953</v>
      </c>
      <c r="P155" s="6"/>
      <c r="Q155" s="6" t="str">
        <f t="shared" si="15"/>
        <v>Passerine seedeaters</v>
      </c>
      <c r="R155" s="6">
        <v>7.0669745959999997</v>
      </c>
      <c r="S155" s="6">
        <v>20.277136259999999</v>
      </c>
      <c r="T155" s="6">
        <v>15.38106236</v>
      </c>
      <c r="U155" s="6">
        <f t="shared" si="12"/>
        <v>42.725173216000002</v>
      </c>
      <c r="V155" s="7">
        <f t="shared" si="14"/>
        <v>928.80811339130435</v>
      </c>
      <c r="W155" s="6" t="s">
        <v>24</v>
      </c>
      <c r="X155" s="6" t="s">
        <v>24</v>
      </c>
      <c r="Y155" s="6" t="s">
        <v>30</v>
      </c>
      <c r="Z155" s="6" t="s">
        <v>31</v>
      </c>
      <c r="AA155" s="6"/>
      <c r="AB155" s="6"/>
      <c r="AC155" s="6"/>
      <c r="AD155" s="6"/>
      <c r="AE155" s="6" t="str">
        <f t="shared" si="13"/>
        <v/>
      </c>
      <c r="AF155" s="6"/>
    </row>
    <row r="156" spans="1:72" s="2" customFormat="1">
      <c r="A156" s="5">
        <v>219</v>
      </c>
      <c r="B156" s="5">
        <v>219</v>
      </c>
      <c r="C156" s="5">
        <v>16650</v>
      </c>
      <c r="D156" s="5" t="s">
        <v>990</v>
      </c>
      <c r="E156" s="16" t="s">
        <v>991</v>
      </c>
      <c r="F156" s="17" t="s">
        <v>992</v>
      </c>
      <c r="G156" s="17" t="s">
        <v>993</v>
      </c>
      <c r="H156" s="17" t="s">
        <v>991</v>
      </c>
      <c r="I156" s="5" t="s">
        <v>962</v>
      </c>
      <c r="J156" s="5" t="s">
        <v>599</v>
      </c>
      <c r="K156" s="5">
        <v>3</v>
      </c>
      <c r="L156" s="5">
        <v>1.5</v>
      </c>
      <c r="M156" s="5" t="str" cm="1">
        <f t="array" ref="M156">_xlfn.SWITCH(L156,
1,"resident",
1.5,"resident and short-distance migrant",
2,"short-distance migrant",
2.5,"short- and long-distance migrant",
3,"long-distance migrant",
"")</f>
        <v>resident and short-distance migrant</v>
      </c>
      <c r="N156" s="5"/>
      <c r="O156" s="5"/>
      <c r="P156" s="5" t="s">
        <v>953</v>
      </c>
      <c r="Q156" s="5" t="str">
        <f t="shared" si="15"/>
        <v>Passerine seedeaters</v>
      </c>
      <c r="R156" s="5">
        <v>0</v>
      </c>
      <c r="S156" s="5">
        <v>0</v>
      </c>
      <c r="T156" s="5">
        <v>0.23094688199999999</v>
      </c>
      <c r="U156" s="5">
        <f t="shared" si="12"/>
        <v>0.23094688199999999</v>
      </c>
      <c r="V156" s="18">
        <f t="shared" si="14"/>
        <v>5.0205843913043475</v>
      </c>
      <c r="W156" s="5" t="s">
        <v>24</v>
      </c>
      <c r="X156" s="5" t="s">
        <v>50</v>
      </c>
      <c r="Y156" s="5" t="s">
        <v>24</v>
      </c>
      <c r="Z156" s="5" t="s">
        <v>69</v>
      </c>
      <c r="AA156" s="5" t="s">
        <v>1046</v>
      </c>
      <c r="AB156" s="5"/>
      <c r="AC156" s="5"/>
      <c r="AD156" s="5">
        <v>1</v>
      </c>
      <c r="AE156" s="5" t="str">
        <f t="shared" si="13"/>
        <v/>
      </c>
      <c r="AF156" s="5"/>
      <c r="AG156" s="2">
        <v>1</v>
      </c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</row>
    <row r="157" spans="1:72">
      <c r="A157" s="6">
        <v>221</v>
      </c>
      <c r="B157" s="6">
        <v>221</v>
      </c>
      <c r="C157" s="6">
        <v>16680</v>
      </c>
      <c r="D157" s="6" t="s">
        <v>998</v>
      </c>
      <c r="E157" s="11" t="s">
        <v>999</v>
      </c>
      <c r="F157" s="14" t="s">
        <v>1000</v>
      </c>
      <c r="G157" s="14" t="s">
        <v>1001</v>
      </c>
      <c r="H157" s="14" t="s">
        <v>999</v>
      </c>
      <c r="I157" s="6" t="s">
        <v>962</v>
      </c>
      <c r="J157" s="6" t="s">
        <v>599</v>
      </c>
      <c r="K157" s="6">
        <v>2</v>
      </c>
      <c r="L157" s="6">
        <v>1</v>
      </c>
      <c r="M157" s="6" t="str" cm="1">
        <f t="array" ref="M157">_xlfn.SWITCH(L157,
1,"resident",
1.5,"resident and short-distance migrant",
2,"short-distance migrant",
2.5,"short- and long-distance migrant",
3,"long-distance migrant",
"")</f>
        <v>resident</v>
      </c>
      <c r="N157" s="6"/>
      <c r="O157" s="6"/>
      <c r="P157" s="6" t="s">
        <v>953</v>
      </c>
      <c r="Q157" s="6" t="str">
        <f t="shared" si="15"/>
        <v>Passerine seedeaters</v>
      </c>
      <c r="R157" s="6">
        <v>0</v>
      </c>
      <c r="S157" s="6">
        <v>4.6189375999999997E-2</v>
      </c>
      <c r="T157" s="6">
        <v>0.13856812900000001</v>
      </c>
      <c r="U157" s="6">
        <f t="shared" si="12"/>
        <v>0.18475750500000002</v>
      </c>
      <c r="V157" s="7">
        <f t="shared" si="14"/>
        <v>4.0164675000000001</v>
      </c>
      <c r="W157" s="6" t="s">
        <v>24</v>
      </c>
      <c r="X157" s="6" t="s">
        <v>24</v>
      </c>
      <c r="Y157" s="6" t="s">
        <v>24</v>
      </c>
      <c r="Z157" s="6" t="s">
        <v>25</v>
      </c>
      <c r="AA157" s="6"/>
      <c r="AB157" s="6"/>
      <c r="AC157" s="6"/>
      <c r="AD157" s="6"/>
      <c r="AE157" s="6">
        <f t="shared" si="13"/>
        <v>1</v>
      </c>
      <c r="AF157" s="6"/>
    </row>
    <row r="158" spans="1:72">
      <c r="A158" s="6">
        <v>129</v>
      </c>
      <c r="B158" s="6">
        <v>129</v>
      </c>
      <c r="C158" s="6">
        <v>9740</v>
      </c>
      <c r="D158" s="6" t="s">
        <v>601</v>
      </c>
      <c r="E158" s="11" t="s">
        <v>602</v>
      </c>
      <c r="F158" s="14" t="s">
        <v>603</v>
      </c>
      <c r="G158" s="14" t="s">
        <v>603</v>
      </c>
      <c r="H158" s="14" t="s">
        <v>602</v>
      </c>
      <c r="I158" s="6" t="s">
        <v>598</v>
      </c>
      <c r="J158" s="6" t="s">
        <v>599</v>
      </c>
      <c r="K158" s="6">
        <v>2</v>
      </c>
      <c r="L158" s="6">
        <v>2</v>
      </c>
      <c r="M158" s="6" t="str" cm="1">
        <f t="array" ref="M158">_xlfn.SWITCH(L158,
1,"resident",
1.5,"resident and short-distance migrant",
2,"short-distance migrant",
2.5,"short- and long-distance migrant",
3,"long-distance migrant",
"")</f>
        <v>short-distance migrant</v>
      </c>
      <c r="N158" s="6"/>
      <c r="O158" s="6" t="s">
        <v>600</v>
      </c>
      <c r="P158" s="6"/>
      <c r="Q158" s="6" t="str">
        <f t="shared" si="15"/>
        <v>Open-land insectivores</v>
      </c>
      <c r="R158" s="6">
        <v>6.2817551959999998</v>
      </c>
      <c r="S158" s="6">
        <v>6.8822170900000001</v>
      </c>
      <c r="T158" s="6">
        <v>16.443418009999998</v>
      </c>
      <c r="U158" s="6">
        <f t="shared" si="12"/>
        <v>29.607390295999998</v>
      </c>
      <c r="V158" s="7">
        <f t="shared" si="14"/>
        <v>643.63891947826085</v>
      </c>
      <c r="W158" s="6" t="s">
        <v>24</v>
      </c>
      <c r="X158" s="6" t="s">
        <v>24</v>
      </c>
      <c r="Y158" s="6" t="s">
        <v>24</v>
      </c>
      <c r="Z158" s="6" t="s">
        <v>25</v>
      </c>
      <c r="AA158" s="6"/>
      <c r="AB158" s="6"/>
      <c r="AC158" s="6"/>
      <c r="AD158" s="6"/>
      <c r="AE158" s="6" t="str">
        <f t="shared" si="13"/>
        <v/>
      </c>
      <c r="AF158" s="6"/>
    </row>
    <row r="159" spans="1:72">
      <c r="A159" s="6">
        <v>147</v>
      </c>
      <c r="B159" s="6">
        <v>147</v>
      </c>
      <c r="C159" s="6">
        <v>11030</v>
      </c>
      <c r="D159" s="6" t="s">
        <v>680</v>
      </c>
      <c r="E159" s="11" t="s">
        <v>681</v>
      </c>
      <c r="F159" s="14" t="s">
        <v>682</v>
      </c>
      <c r="G159" s="14" t="s">
        <v>683</v>
      </c>
      <c r="H159" s="14" t="s">
        <v>681</v>
      </c>
      <c r="I159" s="6" t="s">
        <v>679</v>
      </c>
      <c r="J159" s="6" t="s">
        <v>599</v>
      </c>
      <c r="K159" s="6">
        <v>3</v>
      </c>
      <c r="L159" s="6">
        <v>3</v>
      </c>
      <c r="M159" s="6" t="str" cm="1">
        <f t="array" ref="M159">_xlfn.SWITCH(L159,
1,"resident",
1.5,"resident and short-distance migrant",
2,"short-distance migrant",
2.5,"short- and long-distance migrant",
3,"long-distance migrant",
"")</f>
        <v>long-distance migrant</v>
      </c>
      <c r="N159" s="6" t="s">
        <v>674</v>
      </c>
      <c r="O159" s="6" t="s">
        <v>630</v>
      </c>
      <c r="P159" s="6"/>
      <c r="Q159" s="6" t="str">
        <f t="shared" si="15"/>
        <v>Low flycatching feeders</v>
      </c>
      <c r="R159" s="6">
        <v>41.108545030000002</v>
      </c>
      <c r="S159" s="6">
        <v>52.840646649999996</v>
      </c>
      <c r="T159" s="6">
        <v>48.498845269999997</v>
      </c>
      <c r="U159" s="6">
        <f t="shared" si="12"/>
        <v>142.44803694999999</v>
      </c>
      <c r="V159" s="7">
        <f t="shared" si="14"/>
        <v>3096.6964554347824</v>
      </c>
      <c r="W159" s="6" t="s">
        <v>24</v>
      </c>
      <c r="X159" s="6" t="s">
        <v>24</v>
      </c>
      <c r="Y159" s="6" t="s">
        <v>30</v>
      </c>
      <c r="Z159" s="6" t="s">
        <v>31</v>
      </c>
      <c r="AA159" s="6"/>
      <c r="AB159" s="6"/>
      <c r="AC159" s="6"/>
      <c r="AD159" s="6"/>
      <c r="AE159" s="6" t="str">
        <f t="shared" si="13"/>
        <v/>
      </c>
      <c r="AF159" s="6"/>
    </row>
    <row r="160" spans="1:72">
      <c r="A160" s="6">
        <v>148</v>
      </c>
      <c r="B160" s="6">
        <v>148</v>
      </c>
      <c r="C160" s="6">
        <v>11040</v>
      </c>
      <c r="D160" s="6" t="s">
        <v>684</v>
      </c>
      <c r="E160" s="11" t="s">
        <v>685</v>
      </c>
      <c r="F160" s="14" t="s">
        <v>686</v>
      </c>
      <c r="G160" s="14" t="s">
        <v>687</v>
      </c>
      <c r="H160" s="14" t="s">
        <v>685</v>
      </c>
      <c r="I160" s="6" t="s">
        <v>679</v>
      </c>
      <c r="J160" s="6" t="s">
        <v>599</v>
      </c>
      <c r="K160" s="6">
        <v>3</v>
      </c>
      <c r="L160" s="6">
        <v>3</v>
      </c>
      <c r="M160" s="6" t="str" cm="1">
        <f t="array" ref="M160">_xlfn.SWITCH(L160,
1,"resident",
1.5,"resident and short-distance migrant",
2,"short-distance migrant",
2.5,"short- and long-distance migrant",
3,"long-distance migrant",
"")</f>
        <v>long-distance migrant</v>
      </c>
      <c r="N160" s="6" t="s">
        <v>674</v>
      </c>
      <c r="O160" s="6"/>
      <c r="P160" s="6"/>
      <c r="Q160" s="6" t="s">
        <v>630</v>
      </c>
      <c r="R160" s="6">
        <v>0</v>
      </c>
      <c r="S160" s="6">
        <v>0</v>
      </c>
      <c r="T160" s="6">
        <v>0.323325635</v>
      </c>
      <c r="U160" s="6">
        <f t="shared" si="12"/>
        <v>0.323325635</v>
      </c>
      <c r="V160" s="7">
        <f t="shared" si="14"/>
        <v>7.0288181521739128</v>
      </c>
      <c r="W160" s="6" t="s">
        <v>24</v>
      </c>
      <c r="X160" s="6" t="s">
        <v>50</v>
      </c>
      <c r="Y160" s="6" t="s">
        <v>24</v>
      </c>
      <c r="Z160" s="6" t="s">
        <v>69</v>
      </c>
      <c r="AA160" s="6"/>
      <c r="AB160" s="6"/>
      <c r="AC160" s="6"/>
      <c r="AD160" s="6"/>
      <c r="AE160" s="6" t="str">
        <f t="shared" si="13"/>
        <v/>
      </c>
      <c r="AF160" s="6"/>
    </row>
    <row r="161" spans="1:72">
      <c r="A161" s="6">
        <v>149</v>
      </c>
      <c r="B161" s="6">
        <v>149</v>
      </c>
      <c r="C161" s="6">
        <v>11060</v>
      </c>
      <c r="D161" s="6" t="s">
        <v>689</v>
      </c>
      <c r="E161" s="11" t="s">
        <v>688</v>
      </c>
      <c r="F161" s="14" t="s">
        <v>690</v>
      </c>
      <c r="G161" s="14" t="s">
        <v>690</v>
      </c>
      <c r="H161" s="14" t="s">
        <v>688</v>
      </c>
      <c r="I161" s="6" t="s">
        <v>679</v>
      </c>
      <c r="J161" s="6" t="s">
        <v>599</v>
      </c>
      <c r="K161" s="6">
        <v>3</v>
      </c>
      <c r="L161" s="6">
        <v>2</v>
      </c>
      <c r="M161" s="6" t="str" cm="1">
        <f t="array" ref="M161">_xlfn.SWITCH(L161,
1,"resident",
1.5,"resident and short-distance migrant",
2,"short-distance migrant",
2.5,"short- and long-distance migrant",
3,"long-distance migrant",
"")</f>
        <v>short-distance migrant</v>
      </c>
      <c r="N161" s="6"/>
      <c r="O161" s="6" t="s">
        <v>630</v>
      </c>
      <c r="P161" s="6"/>
      <c r="Q161" s="6" t="str">
        <f t="shared" ref="Q161:Q192" si="16">IF(NOT(ISBLANK(P161)), P161, IF(NOT(ISBLANK(O161)), O161, N161))</f>
        <v>Low flycatching feeders</v>
      </c>
      <c r="R161" s="6">
        <v>0</v>
      </c>
      <c r="S161" s="6">
        <v>0.18475750599999999</v>
      </c>
      <c r="T161" s="6">
        <v>10.438799080000001</v>
      </c>
      <c r="U161" s="6">
        <f t="shared" si="12"/>
        <v>10.623556586000001</v>
      </c>
      <c r="V161" s="7">
        <f t="shared" si="14"/>
        <v>230.94688230434787</v>
      </c>
      <c r="W161" s="6" t="s">
        <v>24</v>
      </c>
      <c r="X161" s="6" t="s">
        <v>24</v>
      </c>
      <c r="Y161" s="6" t="s">
        <v>24</v>
      </c>
      <c r="Z161" s="6" t="s">
        <v>25</v>
      </c>
      <c r="AA161" s="6"/>
      <c r="AB161" s="6"/>
      <c r="AC161" s="6"/>
      <c r="AD161" s="6"/>
      <c r="AE161" s="6" t="str">
        <f t="shared" si="13"/>
        <v/>
      </c>
      <c r="AF161" s="6"/>
    </row>
    <row r="162" spans="1:72">
      <c r="A162" s="6">
        <v>141</v>
      </c>
      <c r="B162" s="6">
        <v>141</v>
      </c>
      <c r="C162" s="6">
        <v>10200</v>
      </c>
      <c r="D162" s="6" t="s">
        <v>652</v>
      </c>
      <c r="E162" s="11" t="s">
        <v>653</v>
      </c>
      <c r="F162" s="14" t="s">
        <v>654</v>
      </c>
      <c r="G162" s="14" t="s">
        <v>655</v>
      </c>
      <c r="H162" s="14" t="s">
        <v>653</v>
      </c>
      <c r="I162" s="6" t="s">
        <v>625</v>
      </c>
      <c r="J162" s="6" t="s">
        <v>599</v>
      </c>
      <c r="K162" s="6">
        <v>3</v>
      </c>
      <c r="L162" s="6">
        <v>2</v>
      </c>
      <c r="M162" s="6" t="str" cm="1">
        <f t="array" ref="M162">_xlfn.SWITCH(L162,
1,"resident",
1.5,"resident and short-distance migrant",
2,"short-distance migrant",
2.5,"short- and long-distance migrant",
3,"long-distance migrant",
"")</f>
        <v>short-distance migrant</v>
      </c>
      <c r="N162" s="6" t="s">
        <v>600</v>
      </c>
      <c r="O162" s="6" t="s">
        <v>600</v>
      </c>
      <c r="P162" s="6"/>
      <c r="Q162" s="6" t="str">
        <f t="shared" si="16"/>
        <v>Open-land insectivores</v>
      </c>
      <c r="R162" s="6">
        <v>76.766743649999995</v>
      </c>
      <c r="S162" s="6">
        <v>93.163972290000004</v>
      </c>
      <c r="T162" s="6">
        <v>94.965357969999999</v>
      </c>
      <c r="U162" s="6">
        <f t="shared" si="12"/>
        <v>264.89607390999998</v>
      </c>
      <c r="V162" s="7">
        <f t="shared" si="14"/>
        <v>5758.6103023913038</v>
      </c>
      <c r="W162" s="6" t="s">
        <v>24</v>
      </c>
      <c r="X162" s="6" t="s">
        <v>24</v>
      </c>
      <c r="Y162" s="6" t="s">
        <v>24</v>
      </c>
      <c r="Z162" s="6" t="s">
        <v>25</v>
      </c>
      <c r="AA162" s="6"/>
      <c r="AB162" s="6"/>
      <c r="AC162" s="6"/>
      <c r="AD162" s="6"/>
      <c r="AE162" s="6" t="str">
        <f t="shared" si="13"/>
        <v/>
      </c>
      <c r="AF162" s="6"/>
    </row>
    <row r="163" spans="1:72">
      <c r="A163" s="6">
        <v>142</v>
      </c>
      <c r="B163" s="6">
        <v>142</v>
      </c>
      <c r="C163" s="6">
        <v>10202</v>
      </c>
      <c r="D163" s="6" t="s">
        <v>656</v>
      </c>
      <c r="E163" s="11" t="s">
        <v>657</v>
      </c>
      <c r="F163" s="14" t="s">
        <v>658</v>
      </c>
      <c r="G163" s="14" t="s">
        <v>659</v>
      </c>
      <c r="H163" s="14" t="s">
        <v>657</v>
      </c>
      <c r="I163" s="6" t="s">
        <v>625</v>
      </c>
      <c r="J163" s="6" t="s">
        <v>599</v>
      </c>
      <c r="K163" s="6">
        <v>3</v>
      </c>
      <c r="L163" s="6">
        <v>2</v>
      </c>
      <c r="M163" s="6" t="str" cm="1">
        <f t="array" ref="M163">_xlfn.SWITCH(L163,
1,"resident",
1.5,"resident and short-distance migrant",
2,"short-distance migrant",
2.5,"short- and long-distance migrant",
3,"long-distance migrant",
"")</f>
        <v>short-distance migrant</v>
      </c>
      <c r="N163" s="6"/>
      <c r="O163" s="6" t="s">
        <v>600</v>
      </c>
      <c r="P163" s="6"/>
      <c r="Q163" s="6" t="str">
        <f t="shared" si="16"/>
        <v>Open-land insectivores</v>
      </c>
      <c r="R163" s="6">
        <v>0</v>
      </c>
      <c r="S163" s="6">
        <v>0.18475750599999999</v>
      </c>
      <c r="T163" s="6">
        <v>0</v>
      </c>
      <c r="U163" s="6">
        <f t="shared" si="12"/>
        <v>0.18475750599999999</v>
      </c>
      <c r="V163" s="7">
        <f t="shared" si="14"/>
        <v>4.0164675217391306</v>
      </c>
      <c r="W163" s="6" t="s">
        <v>50</v>
      </c>
      <c r="X163" s="6" t="s">
        <v>24</v>
      </c>
      <c r="Y163" s="6" t="s">
        <v>30</v>
      </c>
      <c r="Z163" s="6" t="s">
        <v>31</v>
      </c>
      <c r="AA163" s="6"/>
      <c r="AB163" s="6"/>
      <c r="AC163" s="6"/>
      <c r="AD163" s="6"/>
      <c r="AE163" s="6">
        <f t="shared" si="13"/>
        <v>1</v>
      </c>
      <c r="AF163" s="6"/>
    </row>
    <row r="164" spans="1:72">
      <c r="A164" s="6">
        <v>140</v>
      </c>
      <c r="B164" s="6">
        <v>140</v>
      </c>
      <c r="C164" s="6">
        <v>10190</v>
      </c>
      <c r="D164" s="6" t="s">
        <v>648</v>
      </c>
      <c r="E164" s="11" t="s">
        <v>649</v>
      </c>
      <c r="F164" s="14" t="s">
        <v>650</v>
      </c>
      <c r="G164" s="14" t="s">
        <v>651</v>
      </c>
      <c r="H164" s="14" t="s">
        <v>649</v>
      </c>
      <c r="I164" s="6" t="s">
        <v>625</v>
      </c>
      <c r="J164" s="6" t="s">
        <v>599</v>
      </c>
      <c r="K164" s="6">
        <v>2</v>
      </c>
      <c r="L164" s="6">
        <v>1.5</v>
      </c>
      <c r="M164" s="6" t="str" cm="1">
        <f t="array" ref="M164">_xlfn.SWITCH(L164,
1,"resident",
1.5,"resident and short-distance migrant",
2,"short-distance migrant",
2.5,"short- and long-distance migrant",
3,"long-distance migrant",
"")</f>
        <v>resident and short-distance migrant</v>
      </c>
      <c r="N164" s="6"/>
      <c r="O164" s="6" t="s">
        <v>600</v>
      </c>
      <c r="P164" s="6"/>
      <c r="Q164" s="6" t="str">
        <f t="shared" si="16"/>
        <v>Open-land insectivores</v>
      </c>
      <c r="R164" s="6">
        <v>4.5727482679999998</v>
      </c>
      <c r="S164" s="6">
        <v>15.057736719999999</v>
      </c>
      <c r="T164" s="6">
        <v>10.069284059999999</v>
      </c>
      <c r="U164" s="6">
        <f t="shared" si="12"/>
        <v>29.699769048</v>
      </c>
      <c r="V164" s="7">
        <f t="shared" si="14"/>
        <v>645.64715321739129</v>
      </c>
      <c r="W164" s="6" t="s">
        <v>24</v>
      </c>
      <c r="X164" s="6" t="s">
        <v>24</v>
      </c>
      <c r="Y164" s="6" t="s">
        <v>30</v>
      </c>
      <c r="Z164" s="6" t="s">
        <v>31</v>
      </c>
      <c r="AA164" s="6"/>
      <c r="AB164" s="6"/>
      <c r="AC164" s="6"/>
      <c r="AD164" s="6"/>
      <c r="AE164" s="6" t="str">
        <f t="shared" si="13"/>
        <v/>
      </c>
      <c r="AF164" s="6"/>
    </row>
    <row r="165" spans="1:72">
      <c r="A165" s="6">
        <v>138</v>
      </c>
      <c r="B165" s="6">
        <v>138</v>
      </c>
      <c r="C165" s="6">
        <v>10170</v>
      </c>
      <c r="D165" s="6" t="s">
        <v>639</v>
      </c>
      <c r="E165" s="11" t="s">
        <v>640</v>
      </c>
      <c r="F165" s="14" t="s">
        <v>641</v>
      </c>
      <c r="G165" s="14" t="s">
        <v>642</v>
      </c>
      <c r="H165" s="14" t="s">
        <v>640</v>
      </c>
      <c r="I165" s="6" t="s">
        <v>625</v>
      </c>
      <c r="J165" s="6" t="s">
        <v>599</v>
      </c>
      <c r="K165" s="6">
        <v>3</v>
      </c>
      <c r="L165" s="6">
        <v>3</v>
      </c>
      <c r="M165" s="6" t="str" cm="1">
        <f t="array" ref="M165">_xlfn.SWITCH(L165,
1,"resident",
1.5,"resident and short-distance migrant",
2,"short-distance migrant",
2.5,"short- and long-distance migrant",
3,"long-distance migrant",
"")</f>
        <v>long-distance migrant</v>
      </c>
      <c r="N165" s="6"/>
      <c r="O165" s="6" t="s">
        <v>600</v>
      </c>
      <c r="P165" s="6"/>
      <c r="Q165" s="6" t="str">
        <f t="shared" si="16"/>
        <v>Open-land insectivores</v>
      </c>
      <c r="R165" s="6">
        <v>24.942263279999999</v>
      </c>
      <c r="S165" s="6">
        <v>17.4595843</v>
      </c>
      <c r="T165" s="6">
        <v>23.3256351</v>
      </c>
      <c r="U165" s="6">
        <f t="shared" si="12"/>
        <v>65.727482679999994</v>
      </c>
      <c r="V165" s="7">
        <f t="shared" si="14"/>
        <v>1428.8583191304347</v>
      </c>
      <c r="W165" s="6" t="s">
        <v>30</v>
      </c>
      <c r="X165" s="6" t="s">
        <v>30</v>
      </c>
      <c r="Y165" s="6" t="s">
        <v>24</v>
      </c>
      <c r="Z165" s="6" t="s">
        <v>164</v>
      </c>
      <c r="AA165" s="6"/>
      <c r="AB165" s="6"/>
      <c r="AC165" s="6"/>
      <c r="AD165" s="6"/>
      <c r="AE165" s="6" t="str">
        <f t="shared" si="13"/>
        <v/>
      </c>
      <c r="AF165" s="6"/>
    </row>
    <row r="166" spans="1:72" s="3" customFormat="1">
      <c r="A166" s="6">
        <v>139</v>
      </c>
      <c r="B166" s="6">
        <v>139</v>
      </c>
      <c r="C166" s="6">
        <v>10172</v>
      </c>
      <c r="D166" s="6" t="s">
        <v>643</v>
      </c>
      <c r="E166" s="11" t="s">
        <v>644</v>
      </c>
      <c r="F166" s="14" t="s">
        <v>645</v>
      </c>
      <c r="G166" s="14" t="s">
        <v>646</v>
      </c>
      <c r="H166" s="14" t="s">
        <v>644</v>
      </c>
      <c r="I166" s="6" t="s">
        <v>625</v>
      </c>
      <c r="J166" s="6" t="s">
        <v>599</v>
      </c>
      <c r="K166" s="6">
        <v>2</v>
      </c>
      <c r="L166" s="6">
        <v>3</v>
      </c>
      <c r="M166" s="6" t="str" cm="1">
        <f t="array" ref="M166">_xlfn.SWITCH(L166,
1,"resident",
1.5,"resident and short-distance migrant",
2,"short-distance migrant",
2.5,"short- and long-distance migrant",
3,"long-distance migrant",
"")</f>
        <v>long-distance migrant</v>
      </c>
      <c r="N166" s="6"/>
      <c r="O166" s="6" t="s">
        <v>600</v>
      </c>
      <c r="P166" s="6"/>
      <c r="Q166" s="6" t="str">
        <f t="shared" si="16"/>
        <v>Open-land insectivores</v>
      </c>
      <c r="R166" s="6">
        <v>0</v>
      </c>
      <c r="S166" s="6">
        <v>0.13856812900000001</v>
      </c>
      <c r="T166" s="6">
        <v>0</v>
      </c>
      <c r="U166" s="6">
        <f t="shared" si="12"/>
        <v>0.13856812900000001</v>
      </c>
      <c r="V166" s="7">
        <f t="shared" si="14"/>
        <v>3.0123506304347831</v>
      </c>
      <c r="W166" s="6" t="s">
        <v>50</v>
      </c>
      <c r="X166" s="6" t="s">
        <v>24</v>
      </c>
      <c r="Y166" s="6" t="s">
        <v>30</v>
      </c>
      <c r="Z166" s="6" t="s">
        <v>31</v>
      </c>
      <c r="AA166" s="6"/>
      <c r="AB166" s="6"/>
      <c r="AC166" s="6"/>
      <c r="AD166" s="6"/>
      <c r="AE166" s="6">
        <f t="shared" si="13"/>
        <v>1</v>
      </c>
      <c r="AF166" s="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</row>
    <row r="167" spans="1:72">
      <c r="A167" s="6">
        <v>181</v>
      </c>
      <c r="B167" s="6">
        <v>181</v>
      </c>
      <c r="C167" s="6">
        <v>13350</v>
      </c>
      <c r="D167" s="6" t="s">
        <v>822</v>
      </c>
      <c r="E167" s="11" t="s">
        <v>823</v>
      </c>
      <c r="F167" s="14" t="s">
        <v>824</v>
      </c>
      <c r="G167" s="14" t="s">
        <v>825</v>
      </c>
      <c r="H167" s="14" t="s">
        <v>823</v>
      </c>
      <c r="I167" s="6" t="s">
        <v>679</v>
      </c>
      <c r="J167" s="6" t="s">
        <v>599</v>
      </c>
      <c r="K167" s="6">
        <v>3</v>
      </c>
      <c r="L167" s="6">
        <v>3</v>
      </c>
      <c r="M167" s="6" t="str" cm="1">
        <f t="array" ref="M167">_xlfn.SWITCH(L167,
1,"resident",
1.5,"resident and short-distance migrant",
2,"short-distance migrant",
2.5,"short- and long-distance migrant",
3,"long-distance migrant",
"")</f>
        <v>long-distance migrant</v>
      </c>
      <c r="N167" s="6"/>
      <c r="O167" s="6" t="s">
        <v>826</v>
      </c>
      <c r="P167" s="6"/>
      <c r="Q167" s="6" t="str">
        <f t="shared" si="16"/>
        <v>Flycatchers</v>
      </c>
      <c r="R167" s="6">
        <v>31.916859120000002</v>
      </c>
      <c r="S167" s="6">
        <v>48.775981520000002</v>
      </c>
      <c r="T167" s="6">
        <v>48.591224019999999</v>
      </c>
      <c r="U167" s="6">
        <f t="shared" si="12"/>
        <v>129.28406466000001</v>
      </c>
      <c r="V167" s="7">
        <f t="shared" si="14"/>
        <v>2810.5231447826091</v>
      </c>
      <c r="W167" s="6" t="s">
        <v>24</v>
      </c>
      <c r="X167" s="6" t="s">
        <v>24</v>
      </c>
      <c r="Y167" s="6" t="s">
        <v>30</v>
      </c>
      <c r="Z167" s="6" t="s">
        <v>31</v>
      </c>
      <c r="AA167" s="6"/>
      <c r="AB167" s="6"/>
      <c r="AC167" s="6"/>
      <c r="AD167" s="6"/>
      <c r="AE167" s="6" t="str">
        <f t="shared" si="13"/>
        <v/>
      </c>
      <c r="AF167" s="6"/>
    </row>
    <row r="168" spans="1:72">
      <c r="A168" s="6">
        <v>202</v>
      </c>
      <c r="B168" s="6">
        <v>202</v>
      </c>
      <c r="C168" s="6">
        <v>15570</v>
      </c>
      <c r="D168" s="6" t="s">
        <v>919</v>
      </c>
      <c r="E168" s="11" t="s">
        <v>920</v>
      </c>
      <c r="F168" s="14" t="s">
        <v>921</v>
      </c>
      <c r="G168" s="14" t="s">
        <v>922</v>
      </c>
      <c r="H168" s="14" t="s">
        <v>920</v>
      </c>
      <c r="I168" s="6" t="s">
        <v>647</v>
      </c>
      <c r="J168" s="6" t="s">
        <v>599</v>
      </c>
      <c r="K168" s="6">
        <v>2</v>
      </c>
      <c r="L168" s="6">
        <v>1</v>
      </c>
      <c r="M168" s="6" t="str" cm="1">
        <f t="array" ref="M168">_xlfn.SWITCH(L168,
1,"resident",
1.5,"resident and short-distance migrant",
2,"short-distance migrant",
2.5,"short- and long-distance migrant",
3,"long-distance migrant",
"")</f>
        <v>resident</v>
      </c>
      <c r="N168" s="6" t="s">
        <v>914</v>
      </c>
      <c r="O168" s="6"/>
      <c r="P168" s="6"/>
      <c r="Q168" s="6" t="str">
        <f t="shared" si="16"/>
        <v>Omnivorous corvids</v>
      </c>
      <c r="R168" s="6">
        <v>0.13856812900000001</v>
      </c>
      <c r="S168" s="6">
        <v>0.969976905</v>
      </c>
      <c r="T168" s="6">
        <v>0.18475750599999999</v>
      </c>
      <c r="U168" s="6">
        <f t="shared" si="12"/>
        <v>1.29330254</v>
      </c>
      <c r="V168" s="7">
        <f t="shared" si="14"/>
        <v>28.115272608695651</v>
      </c>
      <c r="W168" s="6" t="s">
        <v>24</v>
      </c>
      <c r="X168" s="6" t="s">
        <v>24</v>
      </c>
      <c r="Y168" s="6" t="s">
        <v>30</v>
      </c>
      <c r="Z168" s="6" t="s">
        <v>31</v>
      </c>
      <c r="AA168" s="6"/>
      <c r="AB168" s="6"/>
      <c r="AC168" s="6"/>
      <c r="AD168" s="6"/>
      <c r="AE168" s="6" t="str">
        <f t="shared" si="13"/>
        <v/>
      </c>
      <c r="AF168" s="6"/>
    </row>
    <row r="169" spans="1:72">
      <c r="A169" s="6">
        <v>154</v>
      </c>
      <c r="B169" s="6">
        <v>154</v>
      </c>
      <c r="C169" s="6">
        <v>11460</v>
      </c>
      <c r="D169" s="6" t="s">
        <v>706</v>
      </c>
      <c r="E169" s="11" t="s">
        <v>707</v>
      </c>
      <c r="F169" s="14" t="s">
        <v>708</v>
      </c>
      <c r="G169" s="14" t="s">
        <v>709</v>
      </c>
      <c r="H169" s="14" t="s">
        <v>707</v>
      </c>
      <c r="I169" s="6" t="s">
        <v>679</v>
      </c>
      <c r="J169" s="6" t="s">
        <v>599</v>
      </c>
      <c r="K169" s="6">
        <v>3</v>
      </c>
      <c r="L169" s="6">
        <v>3</v>
      </c>
      <c r="M169" s="6" t="str" cm="1">
        <f t="array" ref="M169">_xlfn.SWITCH(L169,
1,"resident",
1.5,"resident and short-distance migrant",
2,"short-distance migrant",
2.5,"short- and long-distance migrant",
3,"long-distance migrant",
"")</f>
        <v>long-distance migrant</v>
      </c>
      <c r="N169" s="6" t="s">
        <v>674</v>
      </c>
      <c r="O169" s="6" t="s">
        <v>630</v>
      </c>
      <c r="P169" s="6"/>
      <c r="Q169" s="6" t="str">
        <f t="shared" si="16"/>
        <v>Low flycatching feeders</v>
      </c>
      <c r="R169" s="6">
        <v>23.1408776</v>
      </c>
      <c r="S169" s="6">
        <v>12.609699770000001</v>
      </c>
      <c r="T169" s="6">
        <v>5.2655889150000004</v>
      </c>
      <c r="U169" s="6">
        <f t="shared" si="12"/>
        <v>41.016166285000004</v>
      </c>
      <c r="V169" s="7">
        <f t="shared" si="14"/>
        <v>891.65578880434794</v>
      </c>
      <c r="W169" s="6" t="s">
        <v>30</v>
      </c>
      <c r="X169" s="6" t="s">
        <v>30</v>
      </c>
      <c r="Y169" s="6" t="s">
        <v>30</v>
      </c>
      <c r="Z169" s="6" t="s">
        <v>84</v>
      </c>
      <c r="AA169" s="6"/>
      <c r="AB169" s="6"/>
      <c r="AC169" s="6"/>
      <c r="AD169" s="6"/>
      <c r="AE169" s="6" t="str">
        <f t="shared" si="13"/>
        <v/>
      </c>
      <c r="AF169" s="6"/>
    </row>
    <row r="170" spans="1:72">
      <c r="A170" s="6">
        <v>197</v>
      </c>
      <c r="B170" s="6">
        <v>197</v>
      </c>
      <c r="C170" s="6">
        <v>15080</v>
      </c>
      <c r="D170" s="6" t="s">
        <v>894</v>
      </c>
      <c r="E170" s="11" t="s">
        <v>895</v>
      </c>
      <c r="F170" s="14" t="s">
        <v>896</v>
      </c>
      <c r="G170" s="14" t="s">
        <v>897</v>
      </c>
      <c r="H170" s="14" t="s">
        <v>895</v>
      </c>
      <c r="I170" s="6" t="s">
        <v>898</v>
      </c>
      <c r="J170" s="6" t="s">
        <v>599</v>
      </c>
      <c r="K170" s="6">
        <v>3</v>
      </c>
      <c r="L170" s="6">
        <v>3</v>
      </c>
      <c r="M170" s="6" t="str" cm="1">
        <f t="array" ref="M170">_xlfn.SWITCH(L170,
1,"resident",
1.5,"resident and short-distance migrant",
2,"short-distance migrant",
2.5,"short- and long-distance migrant",
3,"long-distance migrant",
"")</f>
        <v>long-distance migrant</v>
      </c>
      <c r="N170" s="6"/>
      <c r="O170" s="6" t="s">
        <v>899</v>
      </c>
      <c r="P170" s="6"/>
      <c r="Q170" s="6" t="str">
        <f t="shared" si="16"/>
        <v>Orioles</v>
      </c>
      <c r="R170" s="6">
        <v>9.2840646650000007</v>
      </c>
      <c r="S170" s="6">
        <v>3.0484988450000001</v>
      </c>
      <c r="T170" s="6">
        <v>1.0161662819999999</v>
      </c>
      <c r="U170" s="6">
        <f t="shared" si="12"/>
        <v>13.348729792</v>
      </c>
      <c r="V170" s="7">
        <f t="shared" si="14"/>
        <v>290.18977808695655</v>
      </c>
      <c r="W170" s="6" t="s">
        <v>30</v>
      </c>
      <c r="X170" s="6" t="s">
        <v>30</v>
      </c>
      <c r="Y170" s="6" t="s">
        <v>30</v>
      </c>
      <c r="Z170" s="6" t="s">
        <v>84</v>
      </c>
      <c r="AA170" s="6"/>
      <c r="AB170" s="6"/>
      <c r="AC170" s="6"/>
      <c r="AD170" s="6"/>
      <c r="AE170" s="6" t="str">
        <f t="shared" si="13"/>
        <v/>
      </c>
      <c r="AF170" s="6"/>
    </row>
    <row r="171" spans="1:72">
      <c r="A171" s="6">
        <v>185</v>
      </c>
      <c r="B171" s="6">
        <v>185</v>
      </c>
      <c r="C171" s="6">
        <v>13640</v>
      </c>
      <c r="D171" s="6" t="s">
        <v>839</v>
      </c>
      <c r="E171" s="11" t="s">
        <v>840</v>
      </c>
      <c r="F171" s="14" t="s">
        <v>841</v>
      </c>
      <c r="G171" s="14" t="s">
        <v>842</v>
      </c>
      <c r="H171" s="14" t="s">
        <v>840</v>
      </c>
      <c r="I171" s="6" t="s">
        <v>843</v>
      </c>
      <c r="J171" s="6" t="s">
        <v>599</v>
      </c>
      <c r="K171" s="6">
        <v>2</v>
      </c>
      <c r="L171" s="6">
        <v>1</v>
      </c>
      <c r="M171" s="6" t="str" cm="1">
        <f t="array" ref="M171">_xlfn.SWITCH(L171,
1,"resident",
1.5,"resident and short-distance migrant",
2,"short-distance migrant",
2.5,"short- and long-distance migrant",
3,"long-distance migrant",
"")</f>
        <v>resident</v>
      </c>
      <c r="N171" s="6"/>
      <c r="O171" s="6" t="s">
        <v>844</v>
      </c>
      <c r="P171" s="6"/>
      <c r="Q171" s="6" t="str">
        <f t="shared" si="16"/>
        <v>Reedlings</v>
      </c>
      <c r="R171" s="6">
        <v>1.29330254</v>
      </c>
      <c r="S171" s="6">
        <v>3.7875288679999999</v>
      </c>
      <c r="T171" s="6">
        <v>7.4826789839999996</v>
      </c>
      <c r="U171" s="6">
        <f t="shared" si="12"/>
        <v>12.563510392</v>
      </c>
      <c r="V171" s="7">
        <f t="shared" si="14"/>
        <v>273.11979113043475</v>
      </c>
      <c r="W171" s="6" t="s">
        <v>24</v>
      </c>
      <c r="X171" s="6" t="s">
        <v>24</v>
      </c>
      <c r="Y171" s="6" t="s">
        <v>24</v>
      </c>
      <c r="Z171" s="6" t="s">
        <v>25</v>
      </c>
      <c r="AA171" s="6"/>
      <c r="AB171" s="6"/>
      <c r="AC171" s="6"/>
      <c r="AD171" s="6"/>
      <c r="AE171" s="6" t="str">
        <f t="shared" si="13"/>
        <v/>
      </c>
      <c r="AF171" s="6"/>
    </row>
    <row r="172" spans="1:72">
      <c r="A172" s="6">
        <v>192</v>
      </c>
      <c r="B172" s="6">
        <v>192</v>
      </c>
      <c r="C172" s="6">
        <v>14640</v>
      </c>
      <c r="D172" s="6" t="s">
        <v>871</v>
      </c>
      <c r="E172" s="11" t="s">
        <v>872</v>
      </c>
      <c r="F172" s="14" t="s">
        <v>873</v>
      </c>
      <c r="G172" s="14" t="s">
        <v>874</v>
      </c>
      <c r="H172" s="14" t="s">
        <v>872</v>
      </c>
      <c r="I172" s="6" t="s">
        <v>854</v>
      </c>
      <c r="J172" s="6" t="s">
        <v>599</v>
      </c>
      <c r="K172" s="6">
        <v>1</v>
      </c>
      <c r="L172" s="6">
        <v>1.5</v>
      </c>
      <c r="M172" s="6" t="str" cm="1">
        <f t="array" ref="M172">_xlfn.SWITCH(L172,
1,"resident",
1.5,"resident and short-distance migrant",
2,"short-distance migrant",
2.5,"short- and long-distance migrant",
3,"long-distance migrant",
"")</f>
        <v>resident and short-distance migrant</v>
      </c>
      <c r="N172" s="6" t="s">
        <v>817</v>
      </c>
      <c r="O172" s="6" t="s">
        <v>817</v>
      </c>
      <c r="P172" s="6"/>
      <c r="Q172" s="6" t="str">
        <f t="shared" si="16"/>
        <v>Tit-like birds</v>
      </c>
      <c r="R172" s="6">
        <v>90.531177830000004</v>
      </c>
      <c r="S172" s="6">
        <v>95.33487298</v>
      </c>
      <c r="T172" s="6">
        <v>96.628175519999999</v>
      </c>
      <c r="U172" s="6">
        <f t="shared" si="12"/>
        <v>282.49422633</v>
      </c>
      <c r="V172" s="7">
        <f t="shared" si="14"/>
        <v>6141.1788332608694</v>
      </c>
      <c r="W172" s="6" t="s">
        <v>24</v>
      </c>
      <c r="X172" s="6" t="s">
        <v>24</v>
      </c>
      <c r="Y172" s="6" t="s">
        <v>24</v>
      </c>
      <c r="Z172" s="6" t="s">
        <v>25</v>
      </c>
      <c r="AA172" s="6"/>
      <c r="AB172" s="6"/>
      <c r="AC172" s="6"/>
      <c r="AD172" s="6"/>
      <c r="AE172" s="6" t="str">
        <f t="shared" si="13"/>
        <v/>
      </c>
      <c r="AF172" s="6"/>
    </row>
    <row r="173" spans="1:72">
      <c r="A173" s="6">
        <v>209</v>
      </c>
      <c r="B173" s="6">
        <v>209</v>
      </c>
      <c r="C173" s="6">
        <v>15910</v>
      </c>
      <c r="D173" s="6" t="s">
        <v>948</v>
      </c>
      <c r="E173" s="11" t="s">
        <v>949</v>
      </c>
      <c r="F173" s="14" t="s">
        <v>950</v>
      </c>
      <c r="G173" s="14" t="s">
        <v>951</v>
      </c>
      <c r="H173" s="14" t="s">
        <v>949</v>
      </c>
      <c r="I173" s="6" t="s">
        <v>952</v>
      </c>
      <c r="J173" s="6" t="s">
        <v>599</v>
      </c>
      <c r="K173" s="6">
        <v>1</v>
      </c>
      <c r="L173" s="6">
        <v>1</v>
      </c>
      <c r="M173" s="6" t="str" cm="1">
        <f t="array" ref="M173">_xlfn.SWITCH(L173,
1,"resident",
1.5,"resident and short-distance migrant",
2,"short-distance migrant",
2.5,"short- and long-distance migrant",
3,"long-distance migrant",
"")</f>
        <v>resident</v>
      </c>
      <c r="N173" s="6"/>
      <c r="O173" s="6" t="s">
        <v>953</v>
      </c>
      <c r="P173" s="6"/>
      <c r="Q173" s="6" t="str">
        <f t="shared" si="16"/>
        <v>Passerine seedeaters</v>
      </c>
      <c r="R173" s="6">
        <v>90.438799079999995</v>
      </c>
      <c r="S173" s="6">
        <v>90.023094689999994</v>
      </c>
      <c r="T173" s="6">
        <v>87.66743649</v>
      </c>
      <c r="U173" s="6">
        <f t="shared" si="12"/>
        <v>268.12933025999996</v>
      </c>
      <c r="V173" s="7">
        <f t="shared" si="14"/>
        <v>5828.8984839130426</v>
      </c>
      <c r="W173" s="6" t="s">
        <v>30</v>
      </c>
      <c r="X173" s="6" t="s">
        <v>30</v>
      </c>
      <c r="Y173" s="6" t="s">
        <v>30</v>
      </c>
      <c r="Z173" s="6" t="s">
        <v>84</v>
      </c>
      <c r="AA173" s="6"/>
      <c r="AB173" s="6"/>
      <c r="AC173" s="6"/>
      <c r="AD173" s="6"/>
      <c r="AE173" s="6" t="str">
        <f t="shared" si="13"/>
        <v/>
      </c>
      <c r="AF173" s="6"/>
    </row>
    <row r="174" spans="1:72">
      <c r="A174" s="6">
        <v>210</v>
      </c>
      <c r="B174" s="6">
        <v>210</v>
      </c>
      <c r="C174" s="6">
        <v>15980</v>
      </c>
      <c r="D174" s="6" t="s">
        <v>954</v>
      </c>
      <c r="E174" s="11" t="s">
        <v>955</v>
      </c>
      <c r="F174" s="14" t="s">
        <v>956</v>
      </c>
      <c r="G174" s="14" t="s">
        <v>957</v>
      </c>
      <c r="H174" s="14" t="s">
        <v>955</v>
      </c>
      <c r="I174" s="6" t="s">
        <v>952</v>
      </c>
      <c r="J174" s="6" t="s">
        <v>599</v>
      </c>
      <c r="K174" s="6">
        <v>1</v>
      </c>
      <c r="L174" s="6">
        <v>1</v>
      </c>
      <c r="M174" s="6" t="str" cm="1">
        <f t="array" ref="M174">_xlfn.SWITCH(L174,
1,"resident",
1.5,"resident and short-distance migrant",
2,"short-distance migrant",
2.5,"short- and long-distance migrant",
3,"long-distance migrant",
"")</f>
        <v>resident</v>
      </c>
      <c r="N174" s="6"/>
      <c r="O174" s="6" t="s">
        <v>953</v>
      </c>
      <c r="P174" s="6"/>
      <c r="Q174" s="6" t="str">
        <f t="shared" si="16"/>
        <v>Passerine seedeaters</v>
      </c>
      <c r="R174" s="6">
        <v>77.274826790000006</v>
      </c>
      <c r="S174" s="6">
        <v>87.852193999999997</v>
      </c>
      <c r="T174" s="6">
        <v>91.085450350000002</v>
      </c>
      <c r="U174" s="6">
        <f t="shared" si="12"/>
        <v>256.21247114000005</v>
      </c>
      <c r="V174" s="7">
        <f t="shared" si="14"/>
        <v>5569.8363291304358</v>
      </c>
      <c r="W174" s="6" t="s">
        <v>24</v>
      </c>
      <c r="X174" s="6" t="s">
        <v>24</v>
      </c>
      <c r="Y174" s="6" t="s">
        <v>24</v>
      </c>
      <c r="Z174" s="6" t="s">
        <v>25</v>
      </c>
      <c r="AA174" s="6"/>
      <c r="AB174" s="6"/>
      <c r="AC174" s="6"/>
      <c r="AD174" s="6"/>
      <c r="AE174" s="6" t="str">
        <f t="shared" si="13"/>
        <v/>
      </c>
      <c r="AF174" s="6"/>
    </row>
    <row r="175" spans="1:72">
      <c r="A175" s="6">
        <v>190</v>
      </c>
      <c r="B175" s="6">
        <v>190</v>
      </c>
      <c r="C175" s="6">
        <v>14610</v>
      </c>
      <c r="D175" s="6" t="s">
        <v>863</v>
      </c>
      <c r="E175" s="11" t="s">
        <v>864</v>
      </c>
      <c r="F175" s="14" t="s">
        <v>865</v>
      </c>
      <c r="G175" s="14" t="s">
        <v>866</v>
      </c>
      <c r="H175" s="14" t="s">
        <v>864</v>
      </c>
      <c r="I175" s="6" t="s">
        <v>854</v>
      </c>
      <c r="J175" s="6" t="s">
        <v>599</v>
      </c>
      <c r="K175" s="6">
        <v>1</v>
      </c>
      <c r="L175" s="6">
        <v>1</v>
      </c>
      <c r="M175" s="6" t="str" cm="1">
        <f t="array" ref="M175">_xlfn.SWITCH(L175,
1,"resident",
1.5,"resident and short-distance migrant",
2,"short-distance migrant",
2.5,"short- and long-distance migrant",
3,"long-distance migrant",
"")</f>
        <v>resident</v>
      </c>
      <c r="N175" s="6" t="s">
        <v>817</v>
      </c>
      <c r="O175" s="6" t="s">
        <v>817</v>
      </c>
      <c r="P175" s="6"/>
      <c r="Q175" s="6" t="str">
        <f t="shared" si="16"/>
        <v>Tit-like birds</v>
      </c>
      <c r="R175" s="6">
        <v>58.383371820000001</v>
      </c>
      <c r="S175" s="6">
        <v>67.898383370000005</v>
      </c>
      <c r="T175" s="6">
        <v>73.579676669999998</v>
      </c>
      <c r="U175" s="6">
        <f t="shared" si="12"/>
        <v>199.86143186000001</v>
      </c>
      <c r="V175" s="7">
        <f t="shared" si="14"/>
        <v>4344.8137360869569</v>
      </c>
      <c r="W175" s="6" t="s">
        <v>24</v>
      </c>
      <c r="X175" s="6" t="s">
        <v>24</v>
      </c>
      <c r="Y175" s="6" t="s">
        <v>24</v>
      </c>
      <c r="Z175" s="6" t="s">
        <v>25</v>
      </c>
      <c r="AA175" s="6"/>
      <c r="AB175" s="6"/>
      <c r="AC175" s="6"/>
      <c r="AD175" s="6"/>
      <c r="AE175" s="6" t="str">
        <f t="shared" si="13"/>
        <v/>
      </c>
      <c r="AF175" s="6"/>
    </row>
    <row r="176" spans="1:72">
      <c r="A176" s="6">
        <v>150</v>
      </c>
      <c r="B176" s="6">
        <v>150</v>
      </c>
      <c r="C176" s="6">
        <v>11210</v>
      </c>
      <c r="D176" s="6" t="s">
        <v>691</v>
      </c>
      <c r="E176" s="11" t="s">
        <v>692</v>
      </c>
      <c r="F176" s="14" t="s">
        <v>693</v>
      </c>
      <c r="G176" s="14" t="s">
        <v>694</v>
      </c>
      <c r="H176" s="14" t="s">
        <v>692</v>
      </c>
      <c r="I176" s="6" t="s">
        <v>679</v>
      </c>
      <c r="J176" s="6" t="s">
        <v>599</v>
      </c>
      <c r="K176" s="6">
        <v>2</v>
      </c>
      <c r="L176" s="6">
        <v>1.5</v>
      </c>
      <c r="M176" s="6" t="str" cm="1">
        <f t="array" ref="M176">_xlfn.SWITCH(L176,
1,"resident",
1.5,"resident and short-distance migrant",
2,"short-distance migrant",
2.5,"short- and long-distance migrant",
3,"long-distance migrant",
"")</f>
        <v>resident and short-distance migrant</v>
      </c>
      <c r="N176" s="6" t="s">
        <v>674</v>
      </c>
      <c r="O176" s="6" t="s">
        <v>630</v>
      </c>
      <c r="P176" s="6"/>
      <c r="Q176" s="6" t="str">
        <f t="shared" si="16"/>
        <v>Low flycatching feeders</v>
      </c>
      <c r="R176" s="6">
        <v>5.6351039260000002</v>
      </c>
      <c r="S176" s="6">
        <v>21.570438800000002</v>
      </c>
      <c r="T176" s="6">
        <v>30.623556579999999</v>
      </c>
      <c r="U176" s="6">
        <f t="shared" si="12"/>
        <v>57.829099306000003</v>
      </c>
      <c r="V176" s="7">
        <f t="shared" si="14"/>
        <v>1257.1543327391305</v>
      </c>
      <c r="W176" s="6" t="s">
        <v>24</v>
      </c>
      <c r="X176" s="6" t="s">
        <v>24</v>
      </c>
      <c r="Y176" s="6" t="s">
        <v>24</v>
      </c>
      <c r="Z176" s="6" t="s">
        <v>25</v>
      </c>
      <c r="AA176" s="6"/>
      <c r="AB176" s="6"/>
      <c r="AC176" s="6"/>
      <c r="AD176" s="6"/>
      <c r="AE176" s="6" t="str">
        <f t="shared" si="13"/>
        <v/>
      </c>
      <c r="AF176" s="6"/>
    </row>
    <row r="177" spans="1:72">
      <c r="A177" s="6">
        <v>151</v>
      </c>
      <c r="B177" s="6">
        <v>151</v>
      </c>
      <c r="C177" s="6">
        <v>11220</v>
      </c>
      <c r="D177" s="6" t="s">
        <v>695</v>
      </c>
      <c r="E177" s="11" t="s">
        <v>696</v>
      </c>
      <c r="F177" s="14" t="s">
        <v>697</v>
      </c>
      <c r="G177" s="14" t="s">
        <v>698</v>
      </c>
      <c r="H177" s="14" t="s">
        <v>696</v>
      </c>
      <c r="I177" s="6" t="s">
        <v>679</v>
      </c>
      <c r="J177" s="6" t="s">
        <v>599</v>
      </c>
      <c r="K177" s="6">
        <v>3</v>
      </c>
      <c r="L177" s="6">
        <v>3</v>
      </c>
      <c r="M177" s="6" t="str" cm="1">
        <f t="array" ref="M177">_xlfn.SWITCH(L177,
1,"resident",
1.5,"resident and short-distance migrant",
2,"short-distance migrant",
2.5,"short- and long-distance migrant",
3,"long-distance migrant",
"")</f>
        <v>long-distance migrant</v>
      </c>
      <c r="N177" s="6" t="s">
        <v>674</v>
      </c>
      <c r="O177" s="6" t="s">
        <v>630</v>
      </c>
      <c r="P177" s="6"/>
      <c r="Q177" s="6" t="str">
        <f t="shared" si="16"/>
        <v>Low flycatching feeders</v>
      </c>
      <c r="R177" s="6">
        <v>43.464203230000003</v>
      </c>
      <c r="S177" s="6">
        <v>55.288683599999999</v>
      </c>
      <c r="T177" s="6">
        <v>89.191685910000004</v>
      </c>
      <c r="U177" s="6">
        <f t="shared" si="12"/>
        <v>187.94457274000001</v>
      </c>
      <c r="V177" s="7">
        <f t="shared" si="14"/>
        <v>4085.7515813043483</v>
      </c>
      <c r="W177" s="6" t="s">
        <v>24</v>
      </c>
      <c r="X177" s="6" t="s">
        <v>24</v>
      </c>
      <c r="Y177" s="6" t="s">
        <v>24</v>
      </c>
      <c r="Z177" s="6" t="s">
        <v>25</v>
      </c>
      <c r="AA177" s="6"/>
      <c r="AB177" s="6"/>
      <c r="AC177" s="6"/>
      <c r="AD177" s="6"/>
      <c r="AE177" s="6" t="str">
        <f t="shared" si="13"/>
        <v/>
      </c>
      <c r="AF177" s="6"/>
    </row>
    <row r="178" spans="1:72">
      <c r="A178" s="6">
        <v>177</v>
      </c>
      <c r="B178" s="6">
        <v>177</v>
      </c>
      <c r="C178" s="6">
        <v>13110</v>
      </c>
      <c r="D178" s="6" t="s">
        <v>805</v>
      </c>
      <c r="E178" s="11" t="s">
        <v>806</v>
      </c>
      <c r="F178" s="14" t="s">
        <v>807</v>
      </c>
      <c r="G178" s="14" t="s">
        <v>808</v>
      </c>
      <c r="H178" s="14" t="s">
        <v>806</v>
      </c>
      <c r="I178" s="6" t="s">
        <v>800</v>
      </c>
      <c r="J178" s="6" t="s">
        <v>599</v>
      </c>
      <c r="K178" s="6">
        <v>3</v>
      </c>
      <c r="L178" s="6">
        <v>2</v>
      </c>
      <c r="M178" s="6" t="str" cm="1">
        <f t="array" ref="M178">_xlfn.SWITCH(L178,
1,"resident",
1.5,"resident and short-distance migrant",
2,"short-distance migrant",
2.5,"short- and long-distance migrant",
3,"long-distance migrant",
"")</f>
        <v>short-distance migrant</v>
      </c>
      <c r="N178" s="6"/>
      <c r="O178" s="6" t="s">
        <v>774</v>
      </c>
      <c r="P178" s="6"/>
      <c r="Q178" s="6" t="str">
        <f t="shared" si="16"/>
        <v>Foliage gleaners</v>
      </c>
      <c r="R178" s="6">
        <v>52.933025399999998</v>
      </c>
      <c r="S178" s="6">
        <v>85.542725169999997</v>
      </c>
      <c r="T178" s="6">
        <v>97.505773669999996</v>
      </c>
      <c r="U178" s="6">
        <f t="shared" si="12"/>
        <v>235.98152424</v>
      </c>
      <c r="V178" s="7">
        <f t="shared" si="14"/>
        <v>5130.0331356521738</v>
      </c>
      <c r="W178" s="6" t="s">
        <v>24</v>
      </c>
      <c r="X178" s="6" t="s">
        <v>24</v>
      </c>
      <c r="Y178" s="6" t="s">
        <v>24</v>
      </c>
      <c r="Z178" s="6" t="s">
        <v>25</v>
      </c>
      <c r="AA178" s="6"/>
      <c r="AB178" s="6"/>
      <c r="AC178" s="6"/>
      <c r="AD178" s="6"/>
      <c r="AE178" s="6" t="str">
        <f t="shared" si="13"/>
        <v/>
      </c>
      <c r="AF178" s="6"/>
    </row>
    <row r="179" spans="1:72">
      <c r="A179" s="6">
        <v>176</v>
      </c>
      <c r="B179" s="6">
        <v>176</v>
      </c>
      <c r="C179" s="6">
        <v>13080</v>
      </c>
      <c r="D179" s="6" t="s">
        <v>801</v>
      </c>
      <c r="E179" s="11" t="s">
        <v>802</v>
      </c>
      <c r="F179" s="14" t="s">
        <v>803</v>
      </c>
      <c r="G179" s="14" t="s">
        <v>804</v>
      </c>
      <c r="H179" s="14" t="s">
        <v>802</v>
      </c>
      <c r="I179" s="6" t="s">
        <v>800</v>
      </c>
      <c r="J179" s="6" t="s">
        <v>599</v>
      </c>
      <c r="K179" s="6">
        <v>3</v>
      </c>
      <c r="L179" s="6">
        <v>3</v>
      </c>
      <c r="M179" s="6" t="str" cm="1">
        <f t="array" ref="M179">_xlfn.SWITCH(L179,
1,"resident",
1.5,"resident and short-distance migrant",
2,"short-distance migrant",
2.5,"short- and long-distance migrant",
3,"long-distance migrant",
"")</f>
        <v>long-distance migrant</v>
      </c>
      <c r="N179" s="6" t="s">
        <v>774</v>
      </c>
      <c r="O179" s="6" t="s">
        <v>774</v>
      </c>
      <c r="P179" s="6"/>
      <c r="Q179" s="6" t="str">
        <f t="shared" si="16"/>
        <v>Foliage gleaners</v>
      </c>
      <c r="R179" s="6">
        <v>36.212471129999997</v>
      </c>
      <c r="S179" s="6">
        <v>31.224018480000002</v>
      </c>
      <c r="T179" s="6">
        <v>31.593533489999999</v>
      </c>
      <c r="U179" s="6">
        <f t="shared" si="12"/>
        <v>99.030023099999994</v>
      </c>
      <c r="V179" s="7">
        <f t="shared" si="14"/>
        <v>2152.8265891304345</v>
      </c>
      <c r="W179" s="6" t="s">
        <v>30</v>
      </c>
      <c r="X179" s="6" t="s">
        <v>30</v>
      </c>
      <c r="Y179" s="6" t="s">
        <v>24</v>
      </c>
      <c r="Z179" s="6" t="s">
        <v>164</v>
      </c>
      <c r="AA179" s="6"/>
      <c r="AB179" s="6"/>
      <c r="AC179" s="6"/>
      <c r="AD179" s="6"/>
      <c r="AE179" s="6" t="str">
        <f t="shared" si="13"/>
        <v/>
      </c>
      <c r="AF179" s="6"/>
    </row>
    <row r="180" spans="1:72">
      <c r="A180" s="6">
        <v>175</v>
      </c>
      <c r="B180" s="6">
        <v>175</v>
      </c>
      <c r="C180" s="6">
        <v>12930</v>
      </c>
      <c r="D180" s="6" t="s">
        <v>796</v>
      </c>
      <c r="E180" s="11" t="s">
        <v>797</v>
      </c>
      <c r="F180" s="14" t="s">
        <v>798</v>
      </c>
      <c r="G180" s="14" t="s">
        <v>799</v>
      </c>
      <c r="H180" s="14" t="s">
        <v>797</v>
      </c>
      <c r="I180" s="6" t="s">
        <v>800</v>
      </c>
      <c r="J180" s="6" t="s">
        <v>599</v>
      </c>
      <c r="K180" s="6">
        <v>3</v>
      </c>
      <c r="L180" s="6">
        <v>3</v>
      </c>
      <c r="M180" s="6" t="str" cm="1">
        <f t="array" ref="M180">_xlfn.SWITCH(L180,
1,"resident",
1.5,"resident and short-distance migrant",
2,"short-distance migrant",
2.5,"short- and long-distance migrant",
3,"long-distance migrant",
"")</f>
        <v>long-distance migrant</v>
      </c>
      <c r="N180" s="6"/>
      <c r="O180" s="6" t="s">
        <v>774</v>
      </c>
      <c r="P180" s="6"/>
      <c r="Q180" s="6" t="str">
        <f t="shared" si="16"/>
        <v>Foliage gleaners</v>
      </c>
      <c r="R180" s="6">
        <v>0</v>
      </c>
      <c r="S180" s="6">
        <v>0.36951501199999998</v>
      </c>
      <c r="T180" s="6">
        <v>0.41570438799999998</v>
      </c>
      <c r="U180" s="6">
        <f t="shared" si="12"/>
        <v>0.7852193999999999</v>
      </c>
      <c r="V180" s="7">
        <f t="shared" si="14"/>
        <v>17.069986956521738</v>
      </c>
      <c r="W180" s="6" t="s">
        <v>24</v>
      </c>
      <c r="X180" s="6" t="s">
        <v>24</v>
      </c>
      <c r="Y180" s="6" t="s">
        <v>24</v>
      </c>
      <c r="Z180" s="6" t="s">
        <v>25</v>
      </c>
      <c r="AA180" s="6"/>
      <c r="AB180" s="6"/>
      <c r="AC180" s="6"/>
      <c r="AD180" s="6"/>
      <c r="AE180" s="6" t="str">
        <f t="shared" si="13"/>
        <v/>
      </c>
      <c r="AF180" s="6"/>
    </row>
    <row r="181" spans="1:72">
      <c r="A181" s="6">
        <v>178</v>
      </c>
      <c r="B181" s="6">
        <v>178</v>
      </c>
      <c r="C181" s="6">
        <v>13120</v>
      </c>
      <c r="D181" s="6" t="s">
        <v>809</v>
      </c>
      <c r="E181" s="11" t="s">
        <v>810</v>
      </c>
      <c r="F181" s="14" t="s">
        <v>811</v>
      </c>
      <c r="G181" s="14" t="s">
        <v>812</v>
      </c>
      <c r="H181" s="14" t="s">
        <v>810</v>
      </c>
      <c r="I181" s="6" t="s">
        <v>800</v>
      </c>
      <c r="J181" s="6" t="s">
        <v>599</v>
      </c>
      <c r="K181" s="6">
        <v>3</v>
      </c>
      <c r="L181" s="6">
        <v>3</v>
      </c>
      <c r="M181" s="6" t="str" cm="1">
        <f t="array" ref="M181">_xlfn.SWITCH(L181,
1,"resident",
1.5,"resident and short-distance migrant",
2,"short-distance migrant",
2.5,"short- and long-distance migrant",
3,"long-distance migrant",
"")</f>
        <v>long-distance migrant</v>
      </c>
      <c r="N181" s="6" t="s">
        <v>774</v>
      </c>
      <c r="O181" s="6" t="s">
        <v>774</v>
      </c>
      <c r="P181" s="6"/>
      <c r="Q181" s="6" t="str">
        <f t="shared" si="16"/>
        <v>Foliage gleaners</v>
      </c>
      <c r="R181" s="6">
        <v>88.360277139999994</v>
      </c>
      <c r="S181" s="6">
        <v>93.348729789999993</v>
      </c>
      <c r="T181" s="6">
        <v>92.794457269999995</v>
      </c>
      <c r="U181" s="6">
        <f t="shared" si="12"/>
        <v>274.5034642</v>
      </c>
      <c r="V181" s="7">
        <f t="shared" si="14"/>
        <v>5967.466613043478</v>
      </c>
      <c r="W181" s="6" t="s">
        <v>24</v>
      </c>
      <c r="X181" s="6" t="s">
        <v>24</v>
      </c>
      <c r="Y181" s="6" t="s">
        <v>30</v>
      </c>
      <c r="Z181" s="6" t="s">
        <v>31</v>
      </c>
      <c r="AA181" s="6"/>
      <c r="AB181" s="6"/>
      <c r="AC181" s="6"/>
      <c r="AD181" s="6"/>
      <c r="AE181" s="6" t="str">
        <f t="shared" si="13"/>
        <v/>
      </c>
      <c r="AF181" s="6"/>
    </row>
    <row r="182" spans="1:72">
      <c r="A182" s="6">
        <v>201</v>
      </c>
      <c r="B182" s="6">
        <v>201</v>
      </c>
      <c r="C182" s="6">
        <v>15490</v>
      </c>
      <c r="D182" s="6" t="s">
        <v>915</v>
      </c>
      <c r="E182" s="11" t="s">
        <v>916</v>
      </c>
      <c r="F182" s="14" t="s">
        <v>917</v>
      </c>
      <c r="G182" s="14" t="s">
        <v>918</v>
      </c>
      <c r="H182" s="14" t="s">
        <v>916</v>
      </c>
      <c r="I182" s="6" t="s">
        <v>647</v>
      </c>
      <c r="J182" s="6" t="s">
        <v>599</v>
      </c>
      <c r="K182" s="6">
        <v>1</v>
      </c>
      <c r="L182" s="6">
        <v>1</v>
      </c>
      <c r="M182" s="6" t="str" cm="1">
        <f t="array" ref="M182">_xlfn.SWITCH(L182,
1,"resident",
1.5,"resident and short-distance migrant",
2,"short-distance migrant",
2.5,"short- and long-distance migrant",
3,"long-distance migrant",
"")</f>
        <v>resident</v>
      </c>
      <c r="N182" s="6" t="s">
        <v>914</v>
      </c>
      <c r="O182" s="6" t="s">
        <v>914</v>
      </c>
      <c r="P182" s="6"/>
      <c r="Q182" s="6" t="str">
        <f t="shared" si="16"/>
        <v>Omnivorous corvids</v>
      </c>
      <c r="R182" s="6">
        <v>75.796766739999995</v>
      </c>
      <c r="S182" s="6">
        <v>79.953810619999999</v>
      </c>
      <c r="T182" s="6">
        <v>83.695150119999994</v>
      </c>
      <c r="U182" s="6">
        <f t="shared" si="12"/>
        <v>239.44572747999999</v>
      </c>
      <c r="V182" s="7">
        <f t="shared" si="14"/>
        <v>5205.3419017391307</v>
      </c>
      <c r="W182" s="6" t="s">
        <v>24</v>
      </c>
      <c r="X182" s="6" t="s">
        <v>24</v>
      </c>
      <c r="Y182" s="6" t="s">
        <v>24</v>
      </c>
      <c r="Z182" s="6" t="s">
        <v>25</v>
      </c>
      <c r="AA182" s="6"/>
      <c r="AB182" s="6"/>
      <c r="AC182" s="6"/>
      <c r="AD182" s="6"/>
      <c r="AE182" s="6" t="str">
        <f t="shared" si="13"/>
        <v/>
      </c>
      <c r="AF182" s="6"/>
    </row>
    <row r="183" spans="1:72">
      <c r="A183" s="6">
        <v>188</v>
      </c>
      <c r="B183" s="6">
        <v>188</v>
      </c>
      <c r="C183" s="6">
        <v>14420</v>
      </c>
      <c r="D183" s="6" t="s">
        <v>855</v>
      </c>
      <c r="E183" s="11" t="s">
        <v>856</v>
      </c>
      <c r="F183" s="14" t="s">
        <v>857</v>
      </c>
      <c r="G183" s="14" t="s">
        <v>858</v>
      </c>
      <c r="H183" s="14" t="s">
        <v>856</v>
      </c>
      <c r="I183" s="6" t="s">
        <v>854</v>
      </c>
      <c r="J183" s="6" t="s">
        <v>599</v>
      </c>
      <c r="K183" s="6">
        <v>1</v>
      </c>
      <c r="L183" s="6">
        <v>1</v>
      </c>
      <c r="M183" s="6" t="str" cm="1">
        <f t="array" ref="M183">_xlfn.SWITCH(L183,
1,"resident",
1.5,"resident and short-distance migrant",
2,"short-distance migrant",
2.5,"short- and long-distance migrant",
3,"long-distance migrant",
"")</f>
        <v>resident</v>
      </c>
      <c r="N183" s="6" t="s">
        <v>817</v>
      </c>
      <c r="O183" s="6" t="s">
        <v>817</v>
      </c>
      <c r="P183" s="6"/>
      <c r="Q183" s="6" t="str">
        <f t="shared" si="16"/>
        <v>Tit-like birds</v>
      </c>
      <c r="R183" s="6">
        <v>0</v>
      </c>
      <c r="S183" s="6">
        <v>1.7551963049999999</v>
      </c>
      <c r="T183" s="6">
        <v>5.1732101620000002</v>
      </c>
      <c r="U183" s="6">
        <f t="shared" si="12"/>
        <v>6.9284064670000003</v>
      </c>
      <c r="V183" s="7">
        <f t="shared" si="14"/>
        <v>150.61753189130437</v>
      </c>
      <c r="W183" s="6" t="s">
        <v>24</v>
      </c>
      <c r="X183" s="6" t="s">
        <v>24</v>
      </c>
      <c r="Y183" s="6" t="s">
        <v>24</v>
      </c>
      <c r="Z183" s="6" t="s">
        <v>25</v>
      </c>
      <c r="AA183" s="6"/>
      <c r="AB183" s="6"/>
      <c r="AC183" s="6"/>
      <c r="AD183" s="6"/>
      <c r="AE183" s="6" t="str">
        <f t="shared" si="13"/>
        <v/>
      </c>
      <c r="AF183" s="6"/>
    </row>
    <row r="184" spans="1:72" s="3" customFormat="1">
      <c r="A184" s="6">
        <v>187</v>
      </c>
      <c r="B184" s="6">
        <v>187</v>
      </c>
      <c r="C184" s="6">
        <v>14400</v>
      </c>
      <c r="D184" s="6" t="s">
        <v>850</v>
      </c>
      <c r="E184" s="11" t="s">
        <v>851</v>
      </c>
      <c r="F184" s="14" t="s">
        <v>852</v>
      </c>
      <c r="G184" s="14" t="s">
        <v>853</v>
      </c>
      <c r="H184" s="14" t="s">
        <v>851</v>
      </c>
      <c r="I184" s="6" t="s">
        <v>854</v>
      </c>
      <c r="J184" s="6" t="s">
        <v>599</v>
      </c>
      <c r="K184" s="6">
        <v>1</v>
      </c>
      <c r="L184" s="6">
        <v>1</v>
      </c>
      <c r="M184" s="6" t="str" cm="1">
        <f t="array" ref="M184">_xlfn.SWITCH(L184,
1,"resident",
1.5,"resident and short-distance migrant",
2,"short-distance migrant",
2.5,"short- and long-distance migrant",
3,"long-distance migrant",
"")</f>
        <v>resident</v>
      </c>
      <c r="N184" s="6" t="s">
        <v>817</v>
      </c>
      <c r="O184" s="6" t="s">
        <v>817</v>
      </c>
      <c r="P184" s="6"/>
      <c r="Q184" s="6" t="str">
        <f t="shared" si="16"/>
        <v>Tit-like birds</v>
      </c>
      <c r="R184" s="6">
        <v>43.695150120000001</v>
      </c>
      <c r="S184" s="6">
        <v>50.115473440000002</v>
      </c>
      <c r="T184" s="6">
        <v>63.972286369999999</v>
      </c>
      <c r="U184" s="6">
        <f t="shared" si="12"/>
        <v>157.78290993000002</v>
      </c>
      <c r="V184" s="7">
        <f t="shared" si="14"/>
        <v>3430.0632593478267</v>
      </c>
      <c r="W184" s="6" t="s">
        <v>24</v>
      </c>
      <c r="X184" s="6" t="s">
        <v>24</v>
      </c>
      <c r="Y184" s="6" t="s">
        <v>24</v>
      </c>
      <c r="Z184" s="6" t="s">
        <v>25</v>
      </c>
      <c r="AA184" s="6"/>
      <c r="AB184" s="6"/>
      <c r="AC184" s="6"/>
      <c r="AD184" s="6"/>
      <c r="AE184" s="6" t="str">
        <f t="shared" si="13"/>
        <v/>
      </c>
      <c r="AF184" s="6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</row>
    <row r="185" spans="1:72">
      <c r="A185" s="6">
        <v>145</v>
      </c>
      <c r="B185" s="6">
        <v>145</v>
      </c>
      <c r="C185" s="6">
        <v>10840</v>
      </c>
      <c r="D185" s="6" t="s">
        <v>670</v>
      </c>
      <c r="E185" s="11" t="s">
        <v>671</v>
      </c>
      <c r="F185" s="14" t="s">
        <v>672</v>
      </c>
      <c r="G185" s="14" t="s">
        <v>672</v>
      </c>
      <c r="H185" s="14" t="s">
        <v>671</v>
      </c>
      <c r="I185" s="6" t="s">
        <v>673</v>
      </c>
      <c r="J185" s="6" t="s">
        <v>599</v>
      </c>
      <c r="K185" s="6">
        <v>1</v>
      </c>
      <c r="L185" s="6">
        <v>1.5</v>
      </c>
      <c r="M185" s="6" t="str" cm="1">
        <f t="array" ref="M185">_xlfn.SWITCH(L185,
1,"resident",
1.5,"resident and short-distance migrant",
2,"short-distance migrant",
2.5,"short- and long-distance migrant",
3,"long-distance migrant",
"")</f>
        <v>resident and short-distance migrant</v>
      </c>
      <c r="N185" s="6" t="s">
        <v>674</v>
      </c>
      <c r="O185" s="6" t="s">
        <v>630</v>
      </c>
      <c r="P185" s="6"/>
      <c r="Q185" s="6" t="str">
        <f t="shared" si="16"/>
        <v>Low flycatching feeders</v>
      </c>
      <c r="R185" s="6">
        <v>76.581986139999998</v>
      </c>
      <c r="S185" s="6">
        <v>84.064665129999995</v>
      </c>
      <c r="T185" s="6">
        <v>90.30023095</v>
      </c>
      <c r="U185" s="6">
        <f t="shared" si="12"/>
        <v>250.94688222000002</v>
      </c>
      <c r="V185" s="7">
        <f t="shared" si="14"/>
        <v>5455.367004782609</v>
      </c>
      <c r="W185" s="6" t="s">
        <v>24</v>
      </c>
      <c r="X185" s="6" t="s">
        <v>24</v>
      </c>
      <c r="Y185" s="6" t="s">
        <v>24</v>
      </c>
      <c r="Z185" s="6" t="s">
        <v>25</v>
      </c>
      <c r="AA185" s="6"/>
      <c r="AB185" s="6"/>
      <c r="AC185" s="6"/>
      <c r="AD185" s="6"/>
      <c r="AE185" s="6" t="str">
        <f t="shared" si="13"/>
        <v/>
      </c>
      <c r="AF185" s="6"/>
    </row>
    <row r="186" spans="1:72">
      <c r="A186" s="6">
        <v>223</v>
      </c>
      <c r="B186" s="6">
        <v>223</v>
      </c>
      <c r="C186" s="6">
        <v>17100</v>
      </c>
      <c r="D186" s="6" t="s">
        <v>1006</v>
      </c>
      <c r="E186" s="11" t="s">
        <v>1007</v>
      </c>
      <c r="F186" s="14" t="s">
        <v>1008</v>
      </c>
      <c r="G186" s="14" t="s">
        <v>1009</v>
      </c>
      <c r="H186" s="14" t="s">
        <v>1007</v>
      </c>
      <c r="I186" s="6" t="s">
        <v>962</v>
      </c>
      <c r="J186" s="6" t="s">
        <v>599</v>
      </c>
      <c r="K186" s="6">
        <v>1</v>
      </c>
      <c r="L186" s="6">
        <v>2</v>
      </c>
      <c r="M186" s="6" t="str" cm="1">
        <f t="array" ref="M186">_xlfn.SWITCH(L186,
1,"resident",
1.5,"resident and short-distance migrant",
2,"short-distance migrant",
2.5,"short- and long-distance migrant",
3,"long-distance migrant",
"")</f>
        <v>short-distance migrant</v>
      </c>
      <c r="N186" s="6"/>
      <c r="O186" s="6" t="s">
        <v>953</v>
      </c>
      <c r="P186" s="6"/>
      <c r="Q186" s="6" t="str">
        <f t="shared" si="16"/>
        <v>Passerine seedeaters</v>
      </c>
      <c r="R186" s="6">
        <v>31.963048499999999</v>
      </c>
      <c r="S186" s="6">
        <v>48.175519629999997</v>
      </c>
      <c r="T186" s="6">
        <v>63.418013860000002</v>
      </c>
      <c r="U186" s="6">
        <f t="shared" si="12"/>
        <v>143.55658198999998</v>
      </c>
      <c r="V186" s="7">
        <f t="shared" si="14"/>
        <v>3120.7952606521735</v>
      </c>
      <c r="W186" s="6" t="s">
        <v>24</v>
      </c>
      <c r="X186" s="6" t="s">
        <v>24</v>
      </c>
      <c r="Y186" s="6" t="s">
        <v>24</v>
      </c>
      <c r="Z186" s="6" t="s">
        <v>25</v>
      </c>
      <c r="AA186" s="6"/>
      <c r="AB186" s="6"/>
      <c r="AC186" s="6"/>
      <c r="AD186" s="6"/>
      <c r="AE186" s="6" t="str">
        <f t="shared" si="13"/>
        <v/>
      </c>
      <c r="AF186" s="6"/>
    </row>
    <row r="187" spans="1:72">
      <c r="A187" s="6">
        <v>180</v>
      </c>
      <c r="B187" s="6">
        <v>180</v>
      </c>
      <c r="C187" s="6">
        <v>13150</v>
      </c>
      <c r="D187" s="6" t="s">
        <v>818</v>
      </c>
      <c r="E187" s="11" t="s">
        <v>819</v>
      </c>
      <c r="F187" s="14" t="s">
        <v>820</v>
      </c>
      <c r="G187" s="14" t="s">
        <v>821</v>
      </c>
      <c r="H187" s="14" t="s">
        <v>819</v>
      </c>
      <c r="I187" s="6" t="s">
        <v>816</v>
      </c>
      <c r="J187" s="6" t="s">
        <v>599</v>
      </c>
      <c r="K187" s="6">
        <v>3</v>
      </c>
      <c r="L187" s="6">
        <v>2</v>
      </c>
      <c r="M187" s="6" t="str" cm="1">
        <f t="array" ref="M187">_xlfn.SWITCH(L187,
1,"resident",
1.5,"resident and short-distance migrant",
2,"short-distance migrant",
2.5,"short- and long-distance migrant",
3,"long-distance migrant",
"")</f>
        <v>short-distance migrant</v>
      </c>
      <c r="N187" s="6"/>
      <c r="O187" s="6"/>
      <c r="P187" s="6" t="s">
        <v>817</v>
      </c>
      <c r="Q187" s="6" t="str">
        <f t="shared" si="16"/>
        <v>Tit-like birds</v>
      </c>
      <c r="R187" s="6">
        <v>2.0785219399999999</v>
      </c>
      <c r="S187" s="6">
        <v>1.2471131639999999</v>
      </c>
      <c r="T187" s="6">
        <v>7.7136258660000001</v>
      </c>
      <c r="U187" s="6">
        <f t="shared" si="12"/>
        <v>11.039260970000001</v>
      </c>
      <c r="V187" s="7">
        <f t="shared" si="14"/>
        <v>239.98393413043482</v>
      </c>
      <c r="W187" s="6" t="s">
        <v>24</v>
      </c>
      <c r="X187" s="6" t="s">
        <v>30</v>
      </c>
      <c r="Y187" s="6" t="s">
        <v>24</v>
      </c>
      <c r="Z187" s="6" t="s">
        <v>164</v>
      </c>
      <c r="AA187" s="6"/>
      <c r="AB187" s="6"/>
      <c r="AC187" s="6"/>
      <c r="AD187" s="6"/>
      <c r="AE187" s="6" t="str">
        <f t="shared" si="13"/>
        <v/>
      </c>
      <c r="AF187" s="6"/>
    </row>
    <row r="188" spans="1:72">
      <c r="A188" s="6">
        <v>179</v>
      </c>
      <c r="B188" s="6">
        <v>179</v>
      </c>
      <c r="C188" s="6">
        <v>13140</v>
      </c>
      <c r="D188" s="6" t="s">
        <v>813</v>
      </c>
      <c r="E188" s="11" t="s">
        <v>814</v>
      </c>
      <c r="F188" s="14" t="s">
        <v>815</v>
      </c>
      <c r="G188" s="14" t="s">
        <v>815</v>
      </c>
      <c r="H188" s="14" t="s">
        <v>814</v>
      </c>
      <c r="I188" s="6" t="s">
        <v>816</v>
      </c>
      <c r="J188" s="6" t="s">
        <v>599</v>
      </c>
      <c r="K188" s="6">
        <v>3</v>
      </c>
      <c r="L188" s="6">
        <v>2</v>
      </c>
      <c r="M188" s="6" t="str" cm="1">
        <f t="array" ref="M188">_xlfn.SWITCH(L188,
1,"resident",
1.5,"resident and short-distance migrant",
2,"short-distance migrant",
2.5,"short- and long-distance migrant",
3,"long-distance migrant",
"")</f>
        <v>short-distance migrant</v>
      </c>
      <c r="N188" s="6" t="s">
        <v>817</v>
      </c>
      <c r="O188" s="6" t="s">
        <v>817</v>
      </c>
      <c r="P188" s="6"/>
      <c r="Q188" s="6" t="str">
        <f t="shared" si="16"/>
        <v>Tit-like birds</v>
      </c>
      <c r="R188" s="6">
        <v>64.249422629999998</v>
      </c>
      <c r="S188" s="6">
        <v>70.66974596</v>
      </c>
      <c r="T188" s="6">
        <v>66.836027709999996</v>
      </c>
      <c r="U188" s="6">
        <f t="shared" si="12"/>
        <v>201.75519629999999</v>
      </c>
      <c r="V188" s="7">
        <f t="shared" si="14"/>
        <v>4385.9825282608699</v>
      </c>
      <c r="W188" s="6" t="s">
        <v>24</v>
      </c>
      <c r="X188" s="6" t="s">
        <v>24</v>
      </c>
      <c r="Y188" s="6" t="s">
        <v>30</v>
      </c>
      <c r="Z188" s="6" t="s">
        <v>31</v>
      </c>
      <c r="AA188" s="6"/>
      <c r="AB188" s="6"/>
      <c r="AC188" s="6"/>
      <c r="AD188" s="6"/>
      <c r="AE188" s="6" t="str">
        <f t="shared" si="13"/>
        <v/>
      </c>
      <c r="AF188" s="6"/>
    </row>
    <row r="189" spans="1:72">
      <c r="A189" s="6">
        <v>196</v>
      </c>
      <c r="B189" s="6">
        <v>196</v>
      </c>
      <c r="C189" s="6">
        <v>14900</v>
      </c>
      <c r="D189" s="6" t="s">
        <v>889</v>
      </c>
      <c r="E189" s="11" t="s">
        <v>890</v>
      </c>
      <c r="F189" s="14" t="s">
        <v>891</v>
      </c>
      <c r="G189" s="14" t="s">
        <v>892</v>
      </c>
      <c r="H189" s="14" t="s">
        <v>890</v>
      </c>
      <c r="I189" s="6" t="s">
        <v>893</v>
      </c>
      <c r="J189" s="6" t="s">
        <v>599</v>
      </c>
      <c r="K189" s="6">
        <v>3</v>
      </c>
      <c r="L189" s="6">
        <v>2</v>
      </c>
      <c r="M189" s="6" t="str" cm="1">
        <f t="array" ref="M189">_xlfn.SWITCH(L189,
1,"resident",
1.5,"resident and short-distance migrant",
2,"short-distance migrant",
2.5,"short- and long-distance migrant",
3,"long-distance migrant",
"")</f>
        <v>short-distance migrant</v>
      </c>
      <c r="N189" s="6"/>
      <c r="O189" s="6" t="s">
        <v>817</v>
      </c>
      <c r="P189" s="6"/>
      <c r="Q189" s="6" t="str">
        <f t="shared" si="16"/>
        <v>Tit-like birds</v>
      </c>
      <c r="R189" s="6">
        <v>0.50808314099999996</v>
      </c>
      <c r="S189" s="6">
        <v>4.2032332559999999</v>
      </c>
      <c r="T189" s="6">
        <v>1.3394919169999999</v>
      </c>
      <c r="U189" s="6">
        <f t="shared" si="12"/>
        <v>6.0508083140000002</v>
      </c>
      <c r="V189" s="7">
        <f t="shared" si="14"/>
        <v>131.53931117391306</v>
      </c>
      <c r="W189" s="6" t="s">
        <v>24</v>
      </c>
      <c r="X189" s="6" t="s">
        <v>24</v>
      </c>
      <c r="Y189" s="6" t="s">
        <v>30</v>
      </c>
      <c r="Z189" s="6" t="s">
        <v>31</v>
      </c>
      <c r="AA189" s="6"/>
      <c r="AB189" s="6"/>
      <c r="AC189" s="6"/>
      <c r="AD189" s="6"/>
      <c r="AE189" s="6" t="str">
        <f t="shared" si="13"/>
        <v/>
      </c>
      <c r="AF189" s="6"/>
    </row>
    <row r="190" spans="1:72">
      <c r="A190" s="6">
        <v>131</v>
      </c>
      <c r="B190" s="6">
        <v>131</v>
      </c>
      <c r="C190" s="6">
        <v>9810</v>
      </c>
      <c r="D190" s="6" t="s">
        <v>608</v>
      </c>
      <c r="E190" s="11" t="s">
        <v>609</v>
      </c>
      <c r="F190" s="14" t="s">
        <v>610</v>
      </c>
      <c r="G190" s="14" t="s">
        <v>611</v>
      </c>
      <c r="H190" s="14" t="s">
        <v>609</v>
      </c>
      <c r="I190" s="6" t="s">
        <v>612</v>
      </c>
      <c r="J190" s="6" t="s">
        <v>599</v>
      </c>
      <c r="K190" s="6">
        <v>3</v>
      </c>
      <c r="L190" s="6">
        <v>3</v>
      </c>
      <c r="M190" s="6" t="str" cm="1">
        <f t="array" ref="M190">_xlfn.SWITCH(L190,
1,"resident",
1.5,"resident and short-distance migrant",
2,"short-distance migrant",
2.5,"short- and long-distance migrant",
3,"long-distance migrant",
"")</f>
        <v>long-distance migrant</v>
      </c>
      <c r="N190" s="6" t="s">
        <v>548</v>
      </c>
      <c r="O190" s="6" t="s">
        <v>548</v>
      </c>
      <c r="P190" s="6"/>
      <c r="Q190" s="6" t="str">
        <f t="shared" si="16"/>
        <v>Aerial insectivores</v>
      </c>
      <c r="R190" s="6">
        <v>46.512702079999997</v>
      </c>
      <c r="S190" s="6">
        <v>34.780600460000002</v>
      </c>
      <c r="T190" s="6">
        <v>29.053117780000001</v>
      </c>
      <c r="U190" s="6">
        <f t="shared" si="12"/>
        <v>110.34642031999999</v>
      </c>
      <c r="V190" s="7">
        <f t="shared" si="14"/>
        <v>2398.8352243478262</v>
      </c>
      <c r="W190" s="6" t="s">
        <v>30</v>
      </c>
      <c r="X190" s="6" t="s">
        <v>30</v>
      </c>
      <c r="Y190" s="6" t="s">
        <v>30</v>
      </c>
      <c r="Z190" s="6" t="s">
        <v>84</v>
      </c>
      <c r="AA190" s="6"/>
      <c r="AB190" s="6"/>
      <c r="AC190" s="6"/>
      <c r="AD190" s="6"/>
      <c r="AE190" s="6" t="str">
        <f t="shared" si="13"/>
        <v/>
      </c>
      <c r="AF190" s="6"/>
    </row>
    <row r="191" spans="1:72">
      <c r="A191" s="6">
        <v>152</v>
      </c>
      <c r="B191" s="6">
        <v>152</v>
      </c>
      <c r="C191" s="6">
        <v>11370</v>
      </c>
      <c r="D191" s="6" t="s">
        <v>699</v>
      </c>
      <c r="E191" s="11" t="s">
        <v>700</v>
      </c>
      <c r="F191" s="14" t="s">
        <v>701</v>
      </c>
      <c r="G191" s="14" t="s">
        <v>701</v>
      </c>
      <c r="H191" s="14" t="s">
        <v>700</v>
      </c>
      <c r="I191" s="6" t="s">
        <v>679</v>
      </c>
      <c r="J191" s="6" t="s">
        <v>599</v>
      </c>
      <c r="K191" s="6">
        <v>3</v>
      </c>
      <c r="L191" s="6">
        <v>3</v>
      </c>
      <c r="M191" s="6" t="str" cm="1">
        <f t="array" ref="M191">_xlfn.SWITCH(L191,
1,"resident",
1.5,"resident and short-distance migrant",
2,"short-distance migrant",
2.5,"short- and long-distance migrant",
3,"long-distance migrant",
"")</f>
        <v>long-distance migrant</v>
      </c>
      <c r="N191" s="6" t="s">
        <v>674</v>
      </c>
      <c r="O191" s="6" t="s">
        <v>630</v>
      </c>
      <c r="P191" s="6"/>
      <c r="Q191" s="6" t="str">
        <f t="shared" si="16"/>
        <v>Low flycatching feeders</v>
      </c>
      <c r="R191" s="6">
        <v>48.591224019999999</v>
      </c>
      <c r="S191" s="6">
        <v>42.956120089999999</v>
      </c>
      <c r="T191" s="6">
        <v>32.424942260000002</v>
      </c>
      <c r="U191" s="6">
        <f t="shared" si="12"/>
        <v>123.97228637000001</v>
      </c>
      <c r="V191" s="7">
        <f t="shared" si="14"/>
        <v>2695.0497036956522</v>
      </c>
      <c r="W191" s="6" t="s">
        <v>30</v>
      </c>
      <c r="X191" s="6" t="s">
        <v>30</v>
      </c>
      <c r="Y191" s="6" t="s">
        <v>30</v>
      </c>
      <c r="Z191" s="6" t="s">
        <v>84</v>
      </c>
      <c r="AA191" s="6"/>
      <c r="AB191" s="6"/>
      <c r="AC191" s="6"/>
      <c r="AD191" s="6"/>
      <c r="AE191" s="6" t="str">
        <f t="shared" si="13"/>
        <v/>
      </c>
      <c r="AF191" s="6"/>
    </row>
    <row r="192" spans="1:72">
      <c r="A192" s="6">
        <v>153</v>
      </c>
      <c r="B192" s="6">
        <v>153</v>
      </c>
      <c r="C192" s="6">
        <v>11390</v>
      </c>
      <c r="D192" s="6" t="s">
        <v>702</v>
      </c>
      <c r="E192" s="11" t="s">
        <v>703</v>
      </c>
      <c r="F192" s="14" t="s">
        <v>704</v>
      </c>
      <c r="G192" s="14" t="s">
        <v>705</v>
      </c>
      <c r="H192" s="14" t="s">
        <v>703</v>
      </c>
      <c r="I192" s="6" t="s">
        <v>679</v>
      </c>
      <c r="J192" s="6" t="s">
        <v>599</v>
      </c>
      <c r="K192" s="6">
        <v>2</v>
      </c>
      <c r="L192" s="6">
        <v>2</v>
      </c>
      <c r="M192" s="6" t="str" cm="1">
        <f t="array" ref="M192">_xlfn.SWITCH(L192,
1,"resident",
1.5,"resident and short-distance migrant",
2,"short-distance migrant",
2.5,"short- and long-distance migrant",
3,"long-distance migrant",
"")</f>
        <v>short-distance migrant</v>
      </c>
      <c r="N192" s="6"/>
      <c r="O192" s="6" t="s">
        <v>630</v>
      </c>
      <c r="P192" s="6"/>
      <c r="Q192" s="6" t="str">
        <f t="shared" si="16"/>
        <v>Low flycatching feeders</v>
      </c>
      <c r="R192" s="6">
        <v>9.2378752999999994E-2</v>
      </c>
      <c r="S192" s="6">
        <v>0.69284064700000003</v>
      </c>
      <c r="T192" s="6">
        <v>9.8845265589999993</v>
      </c>
      <c r="U192" s="6">
        <f t="shared" si="12"/>
        <v>10.669745959</v>
      </c>
      <c r="V192" s="7">
        <f t="shared" si="14"/>
        <v>231.95099910869567</v>
      </c>
      <c r="W192" s="6" t="s">
        <v>24</v>
      </c>
      <c r="X192" s="6" t="s">
        <v>24</v>
      </c>
      <c r="Y192" s="6" t="s">
        <v>24</v>
      </c>
      <c r="Z192" s="6" t="s">
        <v>25</v>
      </c>
      <c r="AA192" s="6"/>
      <c r="AB192" s="6"/>
      <c r="AC192" s="6"/>
      <c r="AD192" s="6"/>
      <c r="AE192" s="6" t="str">
        <f t="shared" si="13"/>
        <v/>
      </c>
      <c r="AF192" s="6"/>
    </row>
    <row r="193" spans="1:72">
      <c r="A193" s="6">
        <v>213</v>
      </c>
      <c r="B193" s="6">
        <v>213</v>
      </c>
      <c r="C193" s="6">
        <v>16400</v>
      </c>
      <c r="D193" s="6" t="s">
        <v>966</v>
      </c>
      <c r="E193" s="11" t="s">
        <v>967</v>
      </c>
      <c r="F193" s="14" t="s">
        <v>968</v>
      </c>
      <c r="G193" s="14" t="s">
        <v>969</v>
      </c>
      <c r="H193" s="14" t="s">
        <v>967</v>
      </c>
      <c r="I193" s="6" t="s">
        <v>962</v>
      </c>
      <c r="J193" s="6" t="s">
        <v>599</v>
      </c>
      <c r="K193" s="6">
        <v>2</v>
      </c>
      <c r="L193" s="6">
        <v>2</v>
      </c>
      <c r="M193" s="6" t="str" cm="1">
        <f t="array" ref="M193">_xlfn.SWITCH(L193,
1,"resident",
1.5,"resident and short-distance migrant",
2,"short-distance migrant",
2.5,"short- and long-distance migrant",
3,"long-distance migrant",
"")</f>
        <v>short-distance migrant</v>
      </c>
      <c r="N193" s="6" t="s">
        <v>953</v>
      </c>
      <c r="O193" s="6" t="s">
        <v>953</v>
      </c>
      <c r="P193" s="6"/>
      <c r="Q193" s="6" t="str">
        <f t="shared" ref="Q193:Q224" si="17">IF(NOT(ISBLANK(P193)), P193, IF(NOT(ISBLANK(O193)), O193, N193))</f>
        <v>Passerine seedeaters</v>
      </c>
      <c r="R193" s="6">
        <v>0.50808314099999996</v>
      </c>
      <c r="S193" s="6">
        <v>0.92378752900000005</v>
      </c>
      <c r="T193" s="6">
        <v>0.73903002299999998</v>
      </c>
      <c r="U193" s="6">
        <f t="shared" si="12"/>
        <v>2.1709006930000001</v>
      </c>
      <c r="V193" s="7">
        <f t="shared" si="14"/>
        <v>47.193493326086958</v>
      </c>
      <c r="W193" s="6" t="s">
        <v>24</v>
      </c>
      <c r="X193" s="6" t="s">
        <v>24</v>
      </c>
      <c r="Y193" s="6" t="s">
        <v>30</v>
      </c>
      <c r="Z193" s="6" t="s">
        <v>31</v>
      </c>
      <c r="AA193" s="6"/>
      <c r="AB193" s="6"/>
      <c r="AC193" s="6"/>
      <c r="AD193" s="6"/>
      <c r="AE193" s="6" t="str">
        <f t="shared" si="13"/>
        <v/>
      </c>
      <c r="AF193" s="6"/>
    </row>
    <row r="194" spans="1:72">
      <c r="A194" s="6">
        <v>193</v>
      </c>
      <c r="B194" s="6">
        <v>193</v>
      </c>
      <c r="C194" s="6">
        <v>14790</v>
      </c>
      <c r="D194" s="6" t="s">
        <v>875</v>
      </c>
      <c r="E194" s="11" t="s">
        <v>876</v>
      </c>
      <c r="F194" s="14" t="s">
        <v>877</v>
      </c>
      <c r="G194" s="14" t="s">
        <v>878</v>
      </c>
      <c r="H194" s="14" t="s">
        <v>876</v>
      </c>
      <c r="I194" s="6" t="s">
        <v>879</v>
      </c>
      <c r="J194" s="6" t="s">
        <v>599</v>
      </c>
      <c r="K194" s="6">
        <v>1</v>
      </c>
      <c r="L194" s="6">
        <v>1</v>
      </c>
      <c r="M194" s="6" t="str" cm="1">
        <f t="array" ref="M194">_xlfn.SWITCH(L194,
1,"resident",
1.5,"resident and short-distance migrant",
2,"short-distance migrant",
2.5,"short- and long-distance migrant",
3,"long-distance migrant",
"")</f>
        <v>resident</v>
      </c>
      <c r="N194" s="6" t="s">
        <v>817</v>
      </c>
      <c r="O194" s="6" t="s">
        <v>817</v>
      </c>
      <c r="P194" s="6"/>
      <c r="Q194" s="6" t="str">
        <f t="shared" si="17"/>
        <v>Tit-like birds</v>
      </c>
      <c r="R194" s="6">
        <v>34.087759820000002</v>
      </c>
      <c r="S194" s="6">
        <v>44.249422629999998</v>
      </c>
      <c r="T194" s="6">
        <v>68.960739029999999</v>
      </c>
      <c r="U194" s="6">
        <f t="shared" ref="U194:U229" si="18">R194+S194+T194</f>
        <v>147.29792148000001</v>
      </c>
      <c r="V194" s="7">
        <f t="shared" si="14"/>
        <v>3202.1287278260875</v>
      </c>
      <c r="W194" s="6" t="s">
        <v>24</v>
      </c>
      <c r="X194" s="6" t="s">
        <v>24</v>
      </c>
      <c r="Y194" s="6" t="s">
        <v>24</v>
      </c>
      <c r="Z194" s="6" t="s">
        <v>25</v>
      </c>
      <c r="AA194" s="6"/>
      <c r="AB194" s="6"/>
      <c r="AC194" s="6"/>
      <c r="AD194" s="6"/>
      <c r="AE194" s="6" t="str">
        <f t="shared" ref="AE194:AE229" si="19">IF(V194&lt;5,1,"")</f>
        <v/>
      </c>
      <c r="AF194" s="6"/>
    </row>
    <row r="195" spans="1:72">
      <c r="A195" s="6">
        <v>216</v>
      </c>
      <c r="B195" s="6">
        <v>216</v>
      </c>
      <c r="C195" s="6">
        <v>16540</v>
      </c>
      <c r="D195" s="6" t="s">
        <v>978</v>
      </c>
      <c r="E195" s="11" t="s">
        <v>979</v>
      </c>
      <c r="F195" s="14" t="s">
        <v>980</v>
      </c>
      <c r="G195" s="14" t="s">
        <v>981</v>
      </c>
      <c r="H195" s="14" t="s">
        <v>979</v>
      </c>
      <c r="I195" s="6" t="s">
        <v>962</v>
      </c>
      <c r="J195" s="6" t="s">
        <v>599</v>
      </c>
      <c r="K195" s="6">
        <v>1</v>
      </c>
      <c r="L195" s="6">
        <v>1.5</v>
      </c>
      <c r="M195" s="6" t="str" cm="1">
        <f t="array" ref="M195">_xlfn.SWITCH(L195,
1,"resident",
1.5,"resident and short-distance migrant",
2,"short-distance migrant",
2.5,"short- and long-distance migrant",
3,"long-distance migrant",
"")</f>
        <v>resident and short-distance migrant</v>
      </c>
      <c r="N195" s="6" t="s">
        <v>953</v>
      </c>
      <c r="O195" s="6" t="s">
        <v>953</v>
      </c>
      <c r="P195" s="6"/>
      <c r="Q195" s="6" t="str">
        <f t="shared" si="17"/>
        <v>Passerine seedeaters</v>
      </c>
      <c r="R195" s="6">
        <v>5.958429561</v>
      </c>
      <c r="S195" s="6">
        <v>15.288683600000001</v>
      </c>
      <c r="T195" s="6">
        <v>9.0531177829999994</v>
      </c>
      <c r="U195" s="6">
        <f t="shared" si="18"/>
        <v>30.300230943999999</v>
      </c>
      <c r="V195" s="7">
        <f t="shared" ref="V195:V229" si="20">U195/0.046</f>
        <v>658.7006726956522</v>
      </c>
      <c r="W195" s="6" t="s">
        <v>24</v>
      </c>
      <c r="X195" s="6" t="s">
        <v>24</v>
      </c>
      <c r="Y195" s="6" t="s">
        <v>30</v>
      </c>
      <c r="Z195" s="6" t="s">
        <v>31</v>
      </c>
      <c r="AA195" s="6"/>
      <c r="AB195" s="6"/>
      <c r="AC195" s="6"/>
      <c r="AD195" s="6"/>
      <c r="AE195" s="6" t="str">
        <f t="shared" si="19"/>
        <v/>
      </c>
      <c r="AF195" s="6"/>
    </row>
    <row r="196" spans="1:72">
      <c r="A196" s="6">
        <v>208</v>
      </c>
      <c r="B196" s="6">
        <v>208</v>
      </c>
      <c r="C196" s="6">
        <v>15820</v>
      </c>
      <c r="D196" s="6" t="s">
        <v>942</v>
      </c>
      <c r="E196" s="11" t="s">
        <v>943</v>
      </c>
      <c r="F196" s="14" t="s">
        <v>944</v>
      </c>
      <c r="G196" s="14" t="s">
        <v>945</v>
      </c>
      <c r="H196" s="14" t="s">
        <v>943</v>
      </c>
      <c r="I196" s="6" t="s">
        <v>946</v>
      </c>
      <c r="J196" s="6" t="s">
        <v>599</v>
      </c>
      <c r="K196" s="6">
        <v>2</v>
      </c>
      <c r="L196" s="6">
        <v>2</v>
      </c>
      <c r="M196" s="6" t="str" cm="1">
        <f t="array" ref="M196">_xlfn.SWITCH(L196,
1,"resident",
1.5,"resident and short-distance migrant",
2,"short-distance migrant",
2.5,"short- and long-distance migrant",
3,"long-distance migrant",
"")</f>
        <v>short-distance migrant</v>
      </c>
      <c r="N196" s="6"/>
      <c r="O196" s="6" t="s">
        <v>947</v>
      </c>
      <c r="P196" s="6"/>
      <c r="Q196" s="6" t="str">
        <f t="shared" si="17"/>
        <v>Starlings</v>
      </c>
      <c r="R196" s="6">
        <v>90.99307159</v>
      </c>
      <c r="S196" s="6">
        <v>93.579676669999998</v>
      </c>
      <c r="T196" s="6">
        <v>90.715935329999994</v>
      </c>
      <c r="U196" s="6">
        <f t="shared" si="18"/>
        <v>275.28868359000001</v>
      </c>
      <c r="V196" s="7">
        <f t="shared" si="20"/>
        <v>5984.5365997826093</v>
      </c>
      <c r="W196" s="6" t="s">
        <v>30</v>
      </c>
      <c r="X196" s="6" t="s">
        <v>24</v>
      </c>
      <c r="Y196" s="6" t="s">
        <v>30</v>
      </c>
      <c r="Z196" s="6" t="s">
        <v>31</v>
      </c>
      <c r="AA196" s="6"/>
      <c r="AB196" s="6"/>
      <c r="AC196" s="6"/>
      <c r="AD196" s="6"/>
      <c r="AE196" s="6" t="str">
        <f t="shared" si="19"/>
        <v/>
      </c>
      <c r="AF196" s="6"/>
    </row>
    <row r="197" spans="1:72">
      <c r="A197" s="6">
        <v>174</v>
      </c>
      <c r="B197" s="6">
        <v>174</v>
      </c>
      <c r="C197" s="6">
        <v>12770</v>
      </c>
      <c r="D197" s="6" t="s">
        <v>792</v>
      </c>
      <c r="E197" s="11" t="s">
        <v>793</v>
      </c>
      <c r="F197" s="14" t="s">
        <v>794</v>
      </c>
      <c r="G197" s="14" t="s">
        <v>795</v>
      </c>
      <c r="H197" s="14" t="s">
        <v>793</v>
      </c>
      <c r="I197" s="6" t="s">
        <v>779</v>
      </c>
      <c r="J197" s="6" t="s">
        <v>599</v>
      </c>
      <c r="K197" s="6">
        <v>3</v>
      </c>
      <c r="L197" s="6">
        <v>2</v>
      </c>
      <c r="M197" s="6" t="str" cm="1">
        <f t="array" ref="M197">_xlfn.SWITCH(L197,
1,"resident",
1.5,"resident and short-distance migrant",
2,"short-distance migrant",
2.5,"short- and long-distance migrant",
3,"long-distance migrant",
"")</f>
        <v>short-distance migrant</v>
      </c>
      <c r="N197" s="6" t="s">
        <v>774</v>
      </c>
      <c r="O197" s="6" t="s">
        <v>774</v>
      </c>
      <c r="P197" s="6"/>
      <c r="Q197" s="6" t="str">
        <f t="shared" si="17"/>
        <v>Foliage gleaners</v>
      </c>
      <c r="R197" s="6">
        <v>72.240184760000005</v>
      </c>
      <c r="S197" s="6">
        <v>86.882217089999997</v>
      </c>
      <c r="T197" s="6">
        <v>95.842956119999997</v>
      </c>
      <c r="U197" s="6">
        <f t="shared" si="18"/>
        <v>254.96535797000001</v>
      </c>
      <c r="V197" s="7">
        <f t="shared" si="20"/>
        <v>5542.7251732608702</v>
      </c>
      <c r="W197" s="6" t="s">
        <v>24</v>
      </c>
      <c r="X197" s="6" t="s">
        <v>24</v>
      </c>
      <c r="Y197" s="6" t="s">
        <v>24</v>
      </c>
      <c r="Z197" s="6" t="s">
        <v>25</v>
      </c>
      <c r="AA197" s="6"/>
      <c r="AB197" s="6"/>
      <c r="AC197" s="6"/>
      <c r="AD197" s="6"/>
      <c r="AE197" s="6" t="str">
        <f t="shared" si="19"/>
        <v/>
      </c>
      <c r="AF197" s="6"/>
    </row>
    <row r="198" spans="1:72">
      <c r="A198" s="6">
        <v>173</v>
      </c>
      <c r="B198" s="6">
        <v>173</v>
      </c>
      <c r="C198" s="6">
        <v>12760</v>
      </c>
      <c r="D198" s="6" t="s">
        <v>788</v>
      </c>
      <c r="E198" s="11" t="s">
        <v>789</v>
      </c>
      <c r="F198" s="14" t="s">
        <v>790</v>
      </c>
      <c r="G198" s="14" t="s">
        <v>791</v>
      </c>
      <c r="H198" s="14" t="s">
        <v>789</v>
      </c>
      <c r="I198" s="6" t="s">
        <v>779</v>
      </c>
      <c r="J198" s="6" t="s">
        <v>599</v>
      </c>
      <c r="K198" s="6">
        <v>3</v>
      </c>
      <c r="L198" s="6">
        <v>3</v>
      </c>
      <c r="M198" s="6" t="str" cm="1">
        <f t="array" ref="M198">_xlfn.SWITCH(L198,
1,"resident",
1.5,"resident and short-distance migrant",
2,"short-distance migrant",
2.5,"short- and long-distance migrant",
3,"long-distance migrant",
"")</f>
        <v>long-distance migrant</v>
      </c>
      <c r="N198" s="6" t="s">
        <v>774</v>
      </c>
      <c r="O198" s="6" t="s">
        <v>774</v>
      </c>
      <c r="P198" s="6"/>
      <c r="Q198" s="6" t="str">
        <f t="shared" si="17"/>
        <v>Foliage gleaners</v>
      </c>
      <c r="R198" s="6">
        <v>78.568129330000005</v>
      </c>
      <c r="S198" s="6">
        <v>84.849884529999997</v>
      </c>
      <c r="T198" s="6">
        <v>87.066974599999995</v>
      </c>
      <c r="U198" s="6">
        <f t="shared" si="18"/>
        <v>250.48498846000001</v>
      </c>
      <c r="V198" s="7">
        <f t="shared" si="20"/>
        <v>5445.3258360869568</v>
      </c>
      <c r="W198" s="6" t="s">
        <v>24</v>
      </c>
      <c r="X198" s="6" t="s">
        <v>24</v>
      </c>
      <c r="Y198" s="6" t="s">
        <v>24</v>
      </c>
      <c r="Z198" s="6" t="s">
        <v>25</v>
      </c>
      <c r="AA198" s="6"/>
      <c r="AB198" s="6"/>
      <c r="AC198" s="6"/>
      <c r="AD198" s="6"/>
      <c r="AE198" s="6" t="str">
        <f t="shared" si="19"/>
        <v/>
      </c>
      <c r="AF198" s="6"/>
    </row>
    <row r="199" spans="1:72">
      <c r="A199" s="6">
        <v>144</v>
      </c>
      <c r="B199" s="6">
        <v>144</v>
      </c>
      <c r="C199" s="6">
        <v>10660</v>
      </c>
      <c r="D199" s="6" t="s">
        <v>665</v>
      </c>
      <c r="E199" s="11" t="s">
        <v>666</v>
      </c>
      <c r="F199" s="14" t="s">
        <v>667</v>
      </c>
      <c r="G199" s="14" t="s">
        <v>668</v>
      </c>
      <c r="H199" s="14" t="s">
        <v>666</v>
      </c>
      <c r="I199" s="6" t="s">
        <v>669</v>
      </c>
      <c r="J199" s="6" t="s">
        <v>599</v>
      </c>
      <c r="K199" s="6">
        <v>3</v>
      </c>
      <c r="L199" s="6">
        <v>1</v>
      </c>
      <c r="M199" s="6" t="str" cm="1">
        <f t="array" ref="M199">_xlfn.SWITCH(L199,
1,"resident",
1.5,"resident and short-distance migrant",
2,"short-distance migrant",
2.5,"short- and long-distance migrant",
3,"long-distance migrant",
"")</f>
        <v>resident</v>
      </c>
      <c r="N199" s="6"/>
      <c r="O199" s="6" t="s">
        <v>630</v>
      </c>
      <c r="P199" s="6"/>
      <c r="Q199" s="6" t="str">
        <f t="shared" si="17"/>
        <v>Low flycatching feeders</v>
      </c>
      <c r="R199" s="6">
        <v>81.709006930000001</v>
      </c>
      <c r="S199" s="6">
        <v>93.903002310000005</v>
      </c>
      <c r="T199" s="6">
        <v>97.043879910000001</v>
      </c>
      <c r="U199" s="6">
        <f t="shared" si="18"/>
        <v>272.65588915000001</v>
      </c>
      <c r="V199" s="7">
        <f t="shared" si="20"/>
        <v>5927.3019380434789</v>
      </c>
      <c r="W199" s="6" t="s">
        <v>24</v>
      </c>
      <c r="X199" s="6" t="s">
        <v>24</v>
      </c>
      <c r="Y199" s="6" t="s">
        <v>24</v>
      </c>
      <c r="Z199" s="6" t="s">
        <v>25</v>
      </c>
      <c r="AA199" s="6"/>
      <c r="AB199" s="6"/>
      <c r="AC199" s="6"/>
      <c r="AD199" s="6"/>
      <c r="AE199" s="6" t="str">
        <f t="shared" si="19"/>
        <v/>
      </c>
      <c r="AF199" s="6"/>
    </row>
    <row r="200" spans="1:72">
      <c r="A200" s="6">
        <v>159</v>
      </c>
      <c r="B200" s="6">
        <v>159</v>
      </c>
      <c r="C200" s="6">
        <v>12010</v>
      </c>
      <c r="D200" s="6" t="s">
        <v>727</v>
      </c>
      <c r="E200" s="11" t="s">
        <v>728</v>
      </c>
      <c r="F200" s="14" t="s">
        <v>729</v>
      </c>
      <c r="G200" s="14" t="s">
        <v>729</v>
      </c>
      <c r="H200" s="14" t="s">
        <v>728</v>
      </c>
      <c r="I200" s="6" t="s">
        <v>714</v>
      </c>
      <c r="J200" s="6" t="s">
        <v>599</v>
      </c>
      <c r="K200" s="6">
        <v>3</v>
      </c>
      <c r="L200" s="6">
        <v>2</v>
      </c>
      <c r="M200" s="6" t="str" cm="1">
        <f t="array" ref="M200">_xlfn.SWITCH(L200,
1,"resident",
1.5,"resident and short-distance migrant",
2,"short-distance migrant",
2.5,"short- and long-distance migrant",
3,"long-distance migrant",
"")</f>
        <v>short-distance migrant</v>
      </c>
      <c r="N200" s="6" t="s">
        <v>719</v>
      </c>
      <c r="O200" s="6"/>
      <c r="P200" s="6"/>
      <c r="Q200" s="6" t="str">
        <f t="shared" si="17"/>
        <v>Thrushes</v>
      </c>
      <c r="R200" s="6">
        <v>0.83140877599999996</v>
      </c>
      <c r="S200" s="6">
        <v>9.2378752999999994E-2</v>
      </c>
      <c r="T200" s="6">
        <v>9.2378752999999994E-2</v>
      </c>
      <c r="U200" s="6">
        <f t="shared" si="18"/>
        <v>1.0161662819999999</v>
      </c>
      <c r="V200" s="7">
        <f t="shared" si="20"/>
        <v>22.090571347826085</v>
      </c>
      <c r="W200" s="6" t="s">
        <v>30</v>
      </c>
      <c r="X200" s="6" t="s">
        <v>30</v>
      </c>
      <c r="Y200" s="6" t="s">
        <v>50</v>
      </c>
      <c r="Z200" s="6" t="s">
        <v>730</v>
      </c>
      <c r="AA200" s="6"/>
      <c r="AB200" s="6"/>
      <c r="AC200" s="6"/>
      <c r="AD200" s="6"/>
      <c r="AE200" s="6" t="str">
        <f t="shared" si="19"/>
        <v/>
      </c>
      <c r="AF200" s="6"/>
    </row>
    <row r="201" spans="1:72">
      <c r="A201" s="6">
        <v>156</v>
      </c>
      <c r="B201" s="6">
        <v>156</v>
      </c>
      <c r="C201" s="6">
        <v>11870</v>
      </c>
      <c r="D201" s="6" t="s">
        <v>715</v>
      </c>
      <c r="E201" s="11" t="s">
        <v>716</v>
      </c>
      <c r="F201" s="14" t="s">
        <v>717</v>
      </c>
      <c r="G201" s="14" t="s">
        <v>718</v>
      </c>
      <c r="H201" s="14" t="s">
        <v>716</v>
      </c>
      <c r="I201" s="6" t="s">
        <v>714</v>
      </c>
      <c r="J201" s="6" t="s">
        <v>599</v>
      </c>
      <c r="K201" s="6">
        <v>1</v>
      </c>
      <c r="L201" s="6">
        <v>1</v>
      </c>
      <c r="M201" s="6" t="str" cm="1">
        <f t="array" ref="M201">_xlfn.SWITCH(L201,
1,"resident",
1.5,"resident and short-distance migrant",
2,"short-distance migrant",
2.5,"short- and long-distance migrant",
3,"long-distance migrant",
"")</f>
        <v>resident</v>
      </c>
      <c r="N201" s="6" t="s">
        <v>719</v>
      </c>
      <c r="O201" s="6" t="s">
        <v>719</v>
      </c>
      <c r="P201" s="6"/>
      <c r="Q201" s="6" t="str">
        <f t="shared" si="17"/>
        <v>Thrushes</v>
      </c>
      <c r="R201" s="6">
        <v>94.919168589999998</v>
      </c>
      <c r="S201" s="6">
        <v>97.413394920000002</v>
      </c>
      <c r="T201" s="6">
        <v>98.013856809999993</v>
      </c>
      <c r="U201" s="6">
        <f t="shared" si="18"/>
        <v>290.34642031999999</v>
      </c>
      <c r="V201" s="7">
        <f t="shared" si="20"/>
        <v>6311.8787026086957</v>
      </c>
      <c r="W201" s="6" t="s">
        <v>24</v>
      </c>
      <c r="X201" s="6" t="s">
        <v>24</v>
      </c>
      <c r="Y201" s="6" t="s">
        <v>24</v>
      </c>
      <c r="Z201" s="6" t="s">
        <v>25</v>
      </c>
      <c r="AA201" s="6"/>
      <c r="AB201" s="6"/>
      <c r="AC201" s="6"/>
      <c r="AD201" s="6"/>
      <c r="AE201" s="6" t="str">
        <f t="shared" si="19"/>
        <v/>
      </c>
      <c r="AF201" s="6"/>
    </row>
    <row r="202" spans="1:72">
      <c r="A202" s="6">
        <v>158</v>
      </c>
      <c r="B202" s="6">
        <v>158</v>
      </c>
      <c r="C202" s="6">
        <v>12000</v>
      </c>
      <c r="D202" s="6" t="s">
        <v>723</v>
      </c>
      <c r="E202" s="11" t="s">
        <v>724</v>
      </c>
      <c r="F202" s="14" t="s">
        <v>725</v>
      </c>
      <c r="G202" s="14" t="s">
        <v>726</v>
      </c>
      <c r="H202" s="14" t="s">
        <v>724</v>
      </c>
      <c r="I202" s="6" t="s">
        <v>714</v>
      </c>
      <c r="J202" s="6" t="s">
        <v>599</v>
      </c>
      <c r="K202" s="6">
        <v>3</v>
      </c>
      <c r="L202" s="6">
        <v>2</v>
      </c>
      <c r="M202" s="6" t="str" cm="1">
        <f t="array" ref="M202">_xlfn.SWITCH(L202,
1,"resident",
1.5,"resident and short-distance migrant",
2,"short-distance migrant",
2.5,"short- and long-distance migrant",
3,"long-distance migrant",
"")</f>
        <v>short-distance migrant</v>
      </c>
      <c r="N202" s="6" t="s">
        <v>719</v>
      </c>
      <c r="O202" s="6" t="s">
        <v>719</v>
      </c>
      <c r="P202" s="6"/>
      <c r="Q202" s="6" t="str">
        <f t="shared" si="17"/>
        <v>Thrushes</v>
      </c>
      <c r="R202" s="6">
        <v>85.357967669999994</v>
      </c>
      <c r="S202" s="6">
        <v>88.591224019999999</v>
      </c>
      <c r="T202" s="6">
        <v>93.487297920000003</v>
      </c>
      <c r="U202" s="6">
        <f t="shared" si="18"/>
        <v>267.43648960999997</v>
      </c>
      <c r="V202" s="7">
        <f t="shared" si="20"/>
        <v>5813.8367306521732</v>
      </c>
      <c r="W202" s="6" t="s">
        <v>24</v>
      </c>
      <c r="X202" s="6" t="s">
        <v>24</v>
      </c>
      <c r="Y202" s="6" t="s">
        <v>24</v>
      </c>
      <c r="Z202" s="6" t="s">
        <v>25</v>
      </c>
      <c r="AA202" s="6"/>
      <c r="AB202" s="6"/>
      <c r="AC202" s="6"/>
      <c r="AD202" s="6"/>
      <c r="AE202" s="6" t="str">
        <f t="shared" si="19"/>
        <v/>
      </c>
      <c r="AF202" s="6"/>
    </row>
    <row r="203" spans="1:72">
      <c r="A203" s="6">
        <v>157</v>
      </c>
      <c r="B203" s="6">
        <v>157</v>
      </c>
      <c r="C203" s="6">
        <v>11980</v>
      </c>
      <c r="D203" s="6" t="s">
        <v>720</v>
      </c>
      <c r="E203" s="11" t="s">
        <v>721</v>
      </c>
      <c r="F203" s="14" t="s">
        <v>722</v>
      </c>
      <c r="G203" s="14" t="s">
        <v>722</v>
      </c>
      <c r="H203" s="14" t="s">
        <v>721</v>
      </c>
      <c r="I203" s="6" t="s">
        <v>714</v>
      </c>
      <c r="J203" s="6" t="s">
        <v>599</v>
      </c>
      <c r="K203" s="6">
        <v>3</v>
      </c>
      <c r="L203" s="6">
        <v>2</v>
      </c>
      <c r="M203" s="6" t="str" cm="1">
        <f t="array" ref="M203">_xlfn.SWITCH(L203,
1,"resident",
1.5,"resident and short-distance migrant",
2,"short-distance migrant",
2.5,"short- and long-distance migrant",
3,"long-distance migrant",
"")</f>
        <v>short-distance migrant</v>
      </c>
      <c r="N203" s="6" t="s">
        <v>719</v>
      </c>
      <c r="O203" s="6" t="s">
        <v>719</v>
      </c>
      <c r="P203" s="6"/>
      <c r="Q203" s="6" t="str">
        <f t="shared" si="17"/>
        <v>Thrushes</v>
      </c>
      <c r="R203" s="6">
        <v>3.2332563510000001</v>
      </c>
      <c r="S203" s="6">
        <v>18.01385681</v>
      </c>
      <c r="T203" s="6">
        <v>9.8845265589999993</v>
      </c>
      <c r="U203" s="6">
        <f t="shared" si="18"/>
        <v>31.131639720000003</v>
      </c>
      <c r="V203" s="7">
        <f t="shared" si="20"/>
        <v>676.77477652173923</v>
      </c>
      <c r="W203" s="6" t="s">
        <v>24</v>
      </c>
      <c r="X203" s="6" t="s">
        <v>24</v>
      </c>
      <c r="Y203" s="6" t="s">
        <v>30</v>
      </c>
      <c r="Z203" s="6" t="s">
        <v>31</v>
      </c>
      <c r="AA203" s="6"/>
      <c r="AB203" s="6"/>
      <c r="AC203" s="6"/>
      <c r="AD203" s="6"/>
      <c r="AE203" s="6" t="str">
        <f t="shared" si="19"/>
        <v/>
      </c>
      <c r="AF203" s="6"/>
    </row>
    <row r="204" spans="1:72" s="2" customFormat="1">
      <c r="A204" s="5">
        <v>155</v>
      </c>
      <c r="B204" s="5">
        <v>155</v>
      </c>
      <c r="C204" s="5">
        <v>11860</v>
      </c>
      <c r="D204" s="5" t="s">
        <v>710</v>
      </c>
      <c r="E204" s="16" t="s">
        <v>711</v>
      </c>
      <c r="F204" s="17" t="s">
        <v>712</v>
      </c>
      <c r="G204" s="17" t="s">
        <v>713</v>
      </c>
      <c r="H204" s="17" t="s">
        <v>711</v>
      </c>
      <c r="I204" s="5" t="s">
        <v>714</v>
      </c>
      <c r="J204" s="5" t="s">
        <v>599</v>
      </c>
      <c r="K204" s="5">
        <v>3</v>
      </c>
      <c r="L204" s="5"/>
      <c r="M204" s="5" t="str" cm="1">
        <f t="array" ref="M204">_xlfn.SWITCH(L204,
1,"resident",
1.5,"resident and short-distance migrant",
2,"short-distance migrant",
2.5,"short- and long-distance migrant",
3,"long-distance migrant",
"")</f>
        <v/>
      </c>
      <c r="N204" s="5"/>
      <c r="O204" s="5"/>
      <c r="P204" s="5" t="s">
        <v>719</v>
      </c>
      <c r="Q204" s="5" t="str">
        <f t="shared" si="17"/>
        <v>Thrushes</v>
      </c>
      <c r="R204" s="5">
        <v>0</v>
      </c>
      <c r="S204" s="5">
        <v>4.6189375999999997E-2</v>
      </c>
      <c r="T204" s="5">
        <v>0</v>
      </c>
      <c r="U204" s="5">
        <f t="shared" si="18"/>
        <v>4.6189375999999997E-2</v>
      </c>
      <c r="V204" s="18">
        <f t="shared" si="20"/>
        <v>1.0041168695652174</v>
      </c>
      <c r="W204" s="5" t="s">
        <v>50</v>
      </c>
      <c r="X204" s="5" t="s">
        <v>24</v>
      </c>
      <c r="Y204" s="5" t="s">
        <v>30</v>
      </c>
      <c r="Z204" s="5" t="s">
        <v>31</v>
      </c>
      <c r="AA204" s="5" t="s">
        <v>1046</v>
      </c>
      <c r="AB204" s="5"/>
      <c r="AC204" s="5"/>
      <c r="AD204" s="5">
        <v>1</v>
      </c>
      <c r="AE204" s="5">
        <f t="shared" si="19"/>
        <v>1</v>
      </c>
      <c r="AF204" s="5"/>
      <c r="AG204" s="2">
        <v>1</v>
      </c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</row>
    <row r="205" spans="1:72">
      <c r="A205" s="6">
        <v>160</v>
      </c>
      <c r="B205" s="6">
        <v>160</v>
      </c>
      <c r="C205" s="6">
        <v>12020</v>
      </c>
      <c r="D205" s="6" t="s">
        <v>731</v>
      </c>
      <c r="E205" s="11" t="s">
        <v>732</v>
      </c>
      <c r="F205" s="14" t="s">
        <v>733</v>
      </c>
      <c r="G205" s="14" t="s">
        <v>734</v>
      </c>
      <c r="H205" s="14" t="s">
        <v>732</v>
      </c>
      <c r="I205" s="6" t="s">
        <v>714</v>
      </c>
      <c r="J205" s="6" t="s">
        <v>599</v>
      </c>
      <c r="K205" s="6">
        <v>1</v>
      </c>
      <c r="L205" s="6">
        <v>2</v>
      </c>
      <c r="M205" s="6" t="str" cm="1">
        <f t="array" ref="M205">_xlfn.SWITCH(L205,
1,"resident",
1.5,"resident and short-distance migrant",
2,"short-distance migrant",
2.5,"short- and long-distance migrant",
3,"long-distance migrant",
"")</f>
        <v>short-distance migrant</v>
      </c>
      <c r="N205" s="6" t="s">
        <v>719</v>
      </c>
      <c r="O205" s="6" t="s">
        <v>719</v>
      </c>
      <c r="P205" s="6"/>
      <c r="Q205" s="6" t="str">
        <f t="shared" si="17"/>
        <v>Thrushes</v>
      </c>
      <c r="R205" s="6">
        <v>20.96997691</v>
      </c>
      <c r="S205" s="6">
        <v>47.02078522</v>
      </c>
      <c r="T205" s="6">
        <v>48.68360277</v>
      </c>
      <c r="U205" s="6">
        <f t="shared" si="18"/>
        <v>116.6743649</v>
      </c>
      <c r="V205" s="7">
        <f t="shared" si="20"/>
        <v>2536.3992369565217</v>
      </c>
      <c r="W205" s="6" t="s">
        <v>24</v>
      </c>
      <c r="X205" s="6" t="s">
        <v>24</v>
      </c>
      <c r="Y205" s="6" t="s">
        <v>24</v>
      </c>
      <c r="Z205" s="6" t="s">
        <v>25</v>
      </c>
      <c r="AA205" s="6"/>
      <c r="AB205" s="6"/>
      <c r="AC205" s="6"/>
      <c r="AD205" s="6"/>
      <c r="AE205" s="6" t="str">
        <f t="shared" si="19"/>
        <v/>
      </c>
      <c r="AF205" s="6"/>
    </row>
    <row r="206" spans="1:72" s="2" customFormat="1">
      <c r="A206" s="5">
        <v>9</v>
      </c>
      <c r="B206" s="5">
        <v>9</v>
      </c>
      <c r="C206" s="5">
        <v>1210</v>
      </c>
      <c r="D206" s="5" t="s">
        <v>65</v>
      </c>
      <c r="E206" s="16" t="s">
        <v>66</v>
      </c>
      <c r="F206" s="17" t="s">
        <v>67</v>
      </c>
      <c r="G206" s="17" t="s">
        <v>68</v>
      </c>
      <c r="H206" s="17" t="s">
        <v>66</v>
      </c>
      <c r="I206" s="5" t="s">
        <v>62</v>
      </c>
      <c r="J206" s="5" t="s">
        <v>63</v>
      </c>
      <c r="K206" s="5">
        <v>2</v>
      </c>
      <c r="L206" s="5">
        <v>2</v>
      </c>
      <c r="M206" s="5" t="str" cm="1">
        <f t="array" ref="M206">_xlfn.SWITCH(L206,
1,"resident",
1.5,"resident and short-distance migrant",
2,"short-distance migrant",
2.5,"short- and long-distance migrant",
3,"long-distance migrant",
"")</f>
        <v>short-distance migrant</v>
      </c>
      <c r="N206" s="5"/>
      <c r="O206" s="5"/>
      <c r="P206" s="5" t="s">
        <v>64</v>
      </c>
      <c r="Q206" s="5" t="str">
        <f t="shared" si="17"/>
        <v>Wading birds</v>
      </c>
      <c r="R206" s="5">
        <v>0</v>
      </c>
      <c r="S206" s="5">
        <v>0</v>
      </c>
      <c r="T206" s="5">
        <v>0.13856812900000001</v>
      </c>
      <c r="U206" s="5">
        <f t="shared" si="18"/>
        <v>0.13856812900000001</v>
      </c>
      <c r="V206" s="18">
        <f t="shared" si="20"/>
        <v>3.0123506304347831</v>
      </c>
      <c r="W206" s="5" t="s">
        <v>24</v>
      </c>
      <c r="X206" s="5" t="s">
        <v>50</v>
      </c>
      <c r="Y206" s="5" t="s">
        <v>24</v>
      </c>
      <c r="Z206" s="5" t="s">
        <v>69</v>
      </c>
      <c r="AA206" s="5" t="s">
        <v>1036</v>
      </c>
      <c r="AB206" s="5"/>
      <c r="AC206" s="5"/>
      <c r="AD206" s="5">
        <v>1</v>
      </c>
      <c r="AE206" s="5">
        <f t="shared" si="19"/>
        <v>1</v>
      </c>
      <c r="AF206" s="5"/>
      <c r="AG206" s="2">
        <v>1</v>
      </c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</row>
    <row r="207" spans="1:72">
      <c r="A207" s="6">
        <v>10</v>
      </c>
      <c r="B207" s="6">
        <v>10</v>
      </c>
      <c r="C207" s="6">
        <v>1220</v>
      </c>
      <c r="D207" s="6" t="s">
        <v>70</v>
      </c>
      <c r="E207" s="11" t="s">
        <v>71</v>
      </c>
      <c r="F207" s="14" t="s">
        <v>72</v>
      </c>
      <c r="G207" s="14" t="s">
        <v>73</v>
      </c>
      <c r="H207" s="14" t="s">
        <v>71</v>
      </c>
      <c r="I207" s="6" t="s">
        <v>62</v>
      </c>
      <c r="J207" s="6" t="s">
        <v>63</v>
      </c>
      <c r="K207" s="6">
        <v>1</v>
      </c>
      <c r="L207" s="6">
        <v>1.5</v>
      </c>
      <c r="M207" s="6" t="str" cm="1">
        <f t="array" ref="M207">_xlfn.SWITCH(L207,
1,"resident",
1.5,"resident and short-distance migrant",
2,"short-distance migrant",
2.5,"short- and long-distance migrant",
3,"long-distance migrant",
"")</f>
        <v>resident and short-distance migrant</v>
      </c>
      <c r="N207" s="6"/>
      <c r="O207" s="6" t="s">
        <v>64</v>
      </c>
      <c r="P207" s="6"/>
      <c r="Q207" s="6" t="str">
        <f t="shared" si="17"/>
        <v>Wading birds</v>
      </c>
      <c r="R207" s="6">
        <v>4.9884526559999998</v>
      </c>
      <c r="S207" s="6">
        <v>10.80831409</v>
      </c>
      <c r="T207" s="6">
        <v>13.34872979</v>
      </c>
      <c r="U207" s="6">
        <f t="shared" si="18"/>
        <v>29.145496536</v>
      </c>
      <c r="V207" s="7">
        <f t="shared" si="20"/>
        <v>633.59775078260873</v>
      </c>
      <c r="W207" s="6" t="s">
        <v>24</v>
      </c>
      <c r="X207" s="6" t="s">
        <v>24</v>
      </c>
      <c r="Y207" s="6" t="s">
        <v>24</v>
      </c>
      <c r="Z207" s="6" t="s">
        <v>25</v>
      </c>
      <c r="AA207" s="6"/>
      <c r="AB207" s="6"/>
      <c r="AC207" s="6"/>
      <c r="AD207" s="6"/>
      <c r="AE207" s="6" t="str">
        <f t="shared" si="19"/>
        <v/>
      </c>
      <c r="AF207" s="6"/>
    </row>
    <row r="208" spans="1:72">
      <c r="A208" s="6">
        <v>8</v>
      </c>
      <c r="B208" s="6">
        <v>8</v>
      </c>
      <c r="C208" s="6">
        <v>950</v>
      </c>
      <c r="D208" s="6" t="s">
        <v>58</v>
      </c>
      <c r="E208" s="11" t="s">
        <v>59</v>
      </c>
      <c r="F208" s="14" t="s">
        <v>60</v>
      </c>
      <c r="G208" s="14" t="s">
        <v>61</v>
      </c>
      <c r="H208" s="14" t="s">
        <v>59</v>
      </c>
      <c r="I208" s="6" t="s">
        <v>62</v>
      </c>
      <c r="J208" s="6" t="s">
        <v>63</v>
      </c>
      <c r="K208" s="6">
        <v>2</v>
      </c>
      <c r="L208" s="6">
        <v>1.5</v>
      </c>
      <c r="M208" s="6" t="str" cm="1">
        <f t="array" ref="M208">_xlfn.SWITCH(L208,
1,"resident",
1.5,"resident and short-distance migrant",
2,"short-distance migrant",
2.5,"short- and long-distance migrant",
3,"long-distance migrant",
"")</f>
        <v>resident and short-distance migrant</v>
      </c>
      <c r="N208" s="6" t="s">
        <v>64</v>
      </c>
      <c r="O208" s="6" t="s">
        <v>64</v>
      </c>
      <c r="P208" s="6"/>
      <c r="Q208" s="6" t="str">
        <f t="shared" si="17"/>
        <v>Wading birds</v>
      </c>
      <c r="R208" s="6">
        <v>1.5704387989999999</v>
      </c>
      <c r="S208" s="6">
        <v>3.187066975</v>
      </c>
      <c r="T208" s="6">
        <v>9.4688221709999993</v>
      </c>
      <c r="U208" s="6">
        <f t="shared" si="18"/>
        <v>14.226327945</v>
      </c>
      <c r="V208" s="7">
        <f t="shared" si="20"/>
        <v>309.26799880434783</v>
      </c>
      <c r="W208" s="6" t="s">
        <v>24</v>
      </c>
      <c r="X208" s="6" t="s">
        <v>24</v>
      </c>
      <c r="Y208" s="6" t="s">
        <v>24</v>
      </c>
      <c r="Z208" s="6" t="s">
        <v>25</v>
      </c>
      <c r="AA208" s="6"/>
      <c r="AB208" s="6"/>
      <c r="AC208" s="6"/>
      <c r="AD208" s="6"/>
      <c r="AE208" s="6" t="str">
        <f t="shared" si="19"/>
        <v/>
      </c>
      <c r="AF208" s="6"/>
    </row>
    <row r="209" spans="1:72">
      <c r="A209" s="6">
        <v>13</v>
      </c>
      <c r="B209" s="6">
        <v>13</v>
      </c>
      <c r="C209" s="6">
        <v>1440</v>
      </c>
      <c r="D209" s="6" t="s">
        <v>85</v>
      </c>
      <c r="E209" s="11" t="s">
        <v>86</v>
      </c>
      <c r="F209" s="14" t="s">
        <v>87</v>
      </c>
      <c r="G209" s="14" t="s">
        <v>88</v>
      </c>
      <c r="H209" s="14" t="s">
        <v>86</v>
      </c>
      <c r="I209" s="6" t="s">
        <v>89</v>
      </c>
      <c r="J209" s="6" t="s">
        <v>63</v>
      </c>
      <c r="K209" s="6">
        <v>2</v>
      </c>
      <c r="L209" s="6">
        <v>2.5</v>
      </c>
      <c r="M209" s="6" t="str" cm="1">
        <f t="array" ref="M209">_xlfn.SWITCH(L209,
1,"resident",
1.5,"resident and short-distance migrant",
2,"short-distance migrant",
2.5,"short- and long-distance migrant",
3,"long-distance migrant",
"")</f>
        <v>short- and long-distance migrant</v>
      </c>
      <c r="N209" s="6" t="s">
        <v>64</v>
      </c>
      <c r="O209" s="6" t="s">
        <v>64</v>
      </c>
      <c r="P209" s="6"/>
      <c r="Q209" s="6" t="str">
        <f t="shared" si="17"/>
        <v>Wading birds</v>
      </c>
      <c r="R209" s="6">
        <v>0</v>
      </c>
      <c r="S209" s="6">
        <v>9.2378752999999994E-2</v>
      </c>
      <c r="T209" s="6">
        <v>0.64665127</v>
      </c>
      <c r="U209" s="6">
        <f t="shared" si="18"/>
        <v>0.73903002299999998</v>
      </c>
      <c r="V209" s="7">
        <f t="shared" si="20"/>
        <v>16.065870065217393</v>
      </c>
      <c r="W209" s="6" t="s">
        <v>24</v>
      </c>
      <c r="X209" s="6" t="s">
        <v>24</v>
      </c>
      <c r="Y209" s="6" t="s">
        <v>24</v>
      </c>
      <c r="Z209" s="6" t="s">
        <v>25</v>
      </c>
      <c r="AA209" s="6"/>
      <c r="AB209" s="6"/>
      <c r="AC209" s="6"/>
      <c r="AD209" s="6"/>
      <c r="AE209" s="6" t="str">
        <f t="shared" si="19"/>
        <v/>
      </c>
      <c r="AF209" s="6"/>
    </row>
    <row r="210" spans="1:72">
      <c r="A210" s="6">
        <v>125</v>
      </c>
      <c r="B210" s="6">
        <v>125</v>
      </c>
      <c r="C210" s="6">
        <v>8760</v>
      </c>
      <c r="D210" s="6" t="s">
        <v>582</v>
      </c>
      <c r="E210" s="11" t="s">
        <v>583</v>
      </c>
      <c r="F210" s="14" t="s">
        <v>584</v>
      </c>
      <c r="G210" s="14" t="s">
        <v>585</v>
      </c>
      <c r="H210" s="14" t="s">
        <v>583</v>
      </c>
      <c r="I210" s="6" t="s">
        <v>571</v>
      </c>
      <c r="J210" s="6" t="s">
        <v>572</v>
      </c>
      <c r="K210" s="6">
        <v>1</v>
      </c>
      <c r="L210" s="6">
        <v>1</v>
      </c>
      <c r="M210" s="6" t="str" cm="1">
        <f t="array" ref="M210">_xlfn.SWITCH(L210,
1,"resident",
1.5,"resident and short-distance migrant",
2,"short-distance migrant",
2.5,"short- and long-distance migrant",
3,"long-distance migrant",
"")</f>
        <v>resident</v>
      </c>
      <c r="N210" s="6" t="s">
        <v>573</v>
      </c>
      <c r="O210" s="6" t="s">
        <v>573</v>
      </c>
      <c r="P210" s="6"/>
      <c r="Q210" s="6" t="str">
        <f t="shared" si="17"/>
        <v>Woodpeckers</v>
      </c>
      <c r="R210" s="6">
        <v>53.99538106</v>
      </c>
      <c r="S210" s="6">
        <v>72.517321019999997</v>
      </c>
      <c r="T210" s="6">
        <v>80.96997691</v>
      </c>
      <c r="U210" s="6">
        <f t="shared" si="18"/>
        <v>207.48267899000001</v>
      </c>
      <c r="V210" s="7">
        <f t="shared" si="20"/>
        <v>4510.4930215217391</v>
      </c>
      <c r="W210" s="6" t="s">
        <v>24</v>
      </c>
      <c r="X210" s="6" t="s">
        <v>24</v>
      </c>
      <c r="Y210" s="6" t="s">
        <v>24</v>
      </c>
      <c r="Z210" s="6" t="s">
        <v>25</v>
      </c>
      <c r="AA210" s="6"/>
      <c r="AB210" s="6"/>
      <c r="AC210" s="6"/>
      <c r="AD210" s="6"/>
      <c r="AE210" s="6" t="str">
        <f t="shared" si="19"/>
        <v/>
      </c>
      <c r="AF210" s="6"/>
    </row>
    <row r="211" spans="1:72" s="2" customFormat="1">
      <c r="A211" s="5">
        <v>126</v>
      </c>
      <c r="B211" s="5">
        <v>126</v>
      </c>
      <c r="C211" s="5">
        <v>8830</v>
      </c>
      <c r="D211" s="5" t="s">
        <v>586</v>
      </c>
      <c r="E211" s="16" t="s">
        <v>587</v>
      </c>
      <c r="F211" s="17" t="s">
        <v>588</v>
      </c>
      <c r="G211" s="17" t="s">
        <v>589</v>
      </c>
      <c r="H211" s="17" t="s">
        <v>587</v>
      </c>
      <c r="I211" s="5" t="s">
        <v>571</v>
      </c>
      <c r="J211" s="5" t="s">
        <v>572</v>
      </c>
      <c r="K211" s="5">
        <v>1</v>
      </c>
      <c r="L211" s="5"/>
      <c r="M211" s="5" t="str" cm="1">
        <f t="array" ref="M211">_xlfn.SWITCH(L211,
1,"resident",
1.5,"resident and short-distance migrant",
2,"short-distance migrant",
2.5,"short- and long-distance migrant",
3,"long-distance migrant",
"")</f>
        <v/>
      </c>
      <c r="N211" s="5"/>
      <c r="O211" s="5"/>
      <c r="P211" s="5" t="s">
        <v>573</v>
      </c>
      <c r="Q211" s="5" t="str">
        <f t="shared" si="17"/>
        <v>Woodpeckers</v>
      </c>
      <c r="R211" s="5">
        <v>0</v>
      </c>
      <c r="S211" s="5">
        <v>0</v>
      </c>
      <c r="T211" s="5">
        <v>0.13856812900000001</v>
      </c>
      <c r="U211" s="5">
        <f t="shared" si="18"/>
        <v>0.13856812900000001</v>
      </c>
      <c r="V211" s="18">
        <f t="shared" si="20"/>
        <v>3.0123506304347831</v>
      </c>
      <c r="W211" s="5" t="s">
        <v>24</v>
      </c>
      <c r="X211" s="5" t="s">
        <v>50</v>
      </c>
      <c r="Y211" s="5" t="s">
        <v>24</v>
      </c>
      <c r="Z211" s="5" t="s">
        <v>69</v>
      </c>
      <c r="AA211" s="5" t="s">
        <v>1045</v>
      </c>
      <c r="AB211" s="5"/>
      <c r="AC211" s="5"/>
      <c r="AD211" s="5">
        <v>1</v>
      </c>
      <c r="AE211" s="5">
        <f t="shared" si="19"/>
        <v>1</v>
      </c>
      <c r="AF211" s="5"/>
      <c r="AG211" s="2">
        <v>1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</row>
    <row r="212" spans="1:72">
      <c r="A212" s="6">
        <v>127</v>
      </c>
      <c r="B212" s="6">
        <v>127</v>
      </c>
      <c r="C212" s="6">
        <v>8870</v>
      </c>
      <c r="D212" s="6" t="s">
        <v>590</v>
      </c>
      <c r="E212" s="11" t="s">
        <v>591</v>
      </c>
      <c r="F212" s="14" t="s">
        <v>592</v>
      </c>
      <c r="G212" s="14" t="s">
        <v>593</v>
      </c>
      <c r="H212" s="14" t="s">
        <v>591</v>
      </c>
      <c r="I212" s="6" t="s">
        <v>571</v>
      </c>
      <c r="J212" s="6" t="s">
        <v>572</v>
      </c>
      <c r="K212" s="6">
        <v>1</v>
      </c>
      <c r="L212" s="6">
        <v>1.5</v>
      </c>
      <c r="M212" s="6" t="str" cm="1">
        <f t="array" ref="M212">_xlfn.SWITCH(L212,
1,"resident",
1.5,"resident and short-distance migrant",
2,"short-distance migrant",
2.5,"short- and long-distance migrant",
3,"long-distance migrant",
"")</f>
        <v>resident and short-distance migrant</v>
      </c>
      <c r="N212" s="6" t="s">
        <v>573</v>
      </c>
      <c r="O212" s="6"/>
      <c r="P212" s="6"/>
      <c r="Q212" s="6" t="str">
        <f t="shared" si="17"/>
        <v>Woodpeckers</v>
      </c>
      <c r="R212" s="6">
        <v>0.323325635</v>
      </c>
      <c r="S212" s="6">
        <v>2.4018475750000001</v>
      </c>
      <c r="T212" s="6">
        <v>2.4018475750000001</v>
      </c>
      <c r="U212" s="6">
        <f t="shared" si="18"/>
        <v>5.1270207850000009</v>
      </c>
      <c r="V212" s="7">
        <f t="shared" si="20"/>
        <v>111.45697358695655</v>
      </c>
      <c r="W212" s="6" t="s">
        <v>24</v>
      </c>
      <c r="X212" s="6" t="s">
        <v>24</v>
      </c>
      <c r="Y212" s="6" t="s">
        <v>50</v>
      </c>
      <c r="Z212" s="6" t="s">
        <v>228</v>
      </c>
      <c r="AA212" s="6"/>
      <c r="AB212" s="6"/>
      <c r="AC212" s="6"/>
      <c r="AD212" s="6"/>
      <c r="AE212" s="6" t="str">
        <f t="shared" si="19"/>
        <v/>
      </c>
      <c r="AF212" s="6"/>
    </row>
    <row r="213" spans="1:72">
      <c r="A213" s="6">
        <v>124</v>
      </c>
      <c r="B213" s="6">
        <v>124</v>
      </c>
      <c r="C213" s="6">
        <v>8630</v>
      </c>
      <c r="D213" s="6" t="s">
        <v>578</v>
      </c>
      <c r="E213" s="11" t="s">
        <v>579</v>
      </c>
      <c r="F213" s="14" t="s">
        <v>580</v>
      </c>
      <c r="G213" s="14" t="s">
        <v>581</v>
      </c>
      <c r="H213" s="14" t="s">
        <v>579</v>
      </c>
      <c r="I213" s="6" t="s">
        <v>571</v>
      </c>
      <c r="J213" s="6" t="s">
        <v>572</v>
      </c>
      <c r="K213" s="6">
        <v>1</v>
      </c>
      <c r="L213" s="6">
        <v>1</v>
      </c>
      <c r="M213" s="6" t="str" cm="1">
        <f t="array" ref="M213">_xlfn.SWITCH(L213,
1,"resident",
1.5,"resident and short-distance migrant",
2,"short-distance migrant",
2.5,"short- and long-distance migrant",
3,"long-distance migrant",
"")</f>
        <v>resident</v>
      </c>
      <c r="N213" s="6" t="s">
        <v>573</v>
      </c>
      <c r="O213" s="6" t="s">
        <v>573</v>
      </c>
      <c r="P213" s="6"/>
      <c r="Q213" s="6" t="str">
        <f t="shared" si="17"/>
        <v>Woodpeckers</v>
      </c>
      <c r="R213" s="6">
        <v>2.9561200919999999</v>
      </c>
      <c r="S213" s="6">
        <v>7.8983833719999996</v>
      </c>
      <c r="T213" s="6">
        <v>6.9745958430000004</v>
      </c>
      <c r="U213" s="6">
        <f t="shared" si="18"/>
        <v>17.829099307</v>
      </c>
      <c r="V213" s="7">
        <f t="shared" si="20"/>
        <v>387.58911536956521</v>
      </c>
      <c r="W213" s="6" t="s">
        <v>24</v>
      </c>
      <c r="X213" s="6" t="s">
        <v>24</v>
      </c>
      <c r="Y213" s="6" t="s">
        <v>30</v>
      </c>
      <c r="Z213" s="6" t="s">
        <v>31</v>
      </c>
      <c r="AA213" s="6"/>
      <c r="AB213" s="6"/>
      <c r="AC213" s="6"/>
      <c r="AD213" s="6"/>
      <c r="AE213" s="6" t="str">
        <f t="shared" si="19"/>
        <v/>
      </c>
      <c r="AF213" s="6"/>
    </row>
    <row r="214" spans="1:72">
      <c r="A214" s="6">
        <v>122</v>
      </c>
      <c r="B214" s="6">
        <v>122</v>
      </c>
      <c r="C214" s="6">
        <v>8480</v>
      </c>
      <c r="D214" s="6" t="s">
        <v>567</v>
      </c>
      <c r="E214" s="11" t="s">
        <v>568</v>
      </c>
      <c r="F214" s="14" t="s">
        <v>569</v>
      </c>
      <c r="G214" s="14" t="s">
        <v>570</v>
      </c>
      <c r="H214" s="14" t="s">
        <v>568</v>
      </c>
      <c r="I214" s="6" t="s">
        <v>571</v>
      </c>
      <c r="J214" s="6" t="s">
        <v>572</v>
      </c>
      <c r="K214" s="6">
        <v>3</v>
      </c>
      <c r="L214" s="6">
        <v>2</v>
      </c>
      <c r="M214" s="6" t="str" cm="1">
        <f t="array" ref="M214">_xlfn.SWITCH(L214,
1,"resident",
1.5,"resident and short-distance migrant",
2,"short-distance migrant",
2.5,"short- and long-distance migrant",
3,"long-distance migrant",
"")</f>
        <v>short-distance migrant</v>
      </c>
      <c r="N214" s="6" t="s">
        <v>573</v>
      </c>
      <c r="O214" s="6" t="s">
        <v>573</v>
      </c>
      <c r="P214" s="6"/>
      <c r="Q214" s="6" t="str">
        <f t="shared" si="17"/>
        <v>Woodpeckers</v>
      </c>
      <c r="R214" s="6">
        <v>6.6512702079999997</v>
      </c>
      <c r="S214" s="6">
        <v>4.6189376439999998</v>
      </c>
      <c r="T214" s="6">
        <v>7.2979214780000001</v>
      </c>
      <c r="U214" s="6">
        <f t="shared" si="18"/>
        <v>18.568129329999998</v>
      </c>
      <c r="V214" s="7">
        <f t="shared" si="20"/>
        <v>403.65498543478259</v>
      </c>
      <c r="W214" s="6" t="s">
        <v>24</v>
      </c>
      <c r="X214" s="6" t="s">
        <v>30</v>
      </c>
      <c r="Y214" s="6" t="s">
        <v>24</v>
      </c>
      <c r="Z214" s="6" t="s">
        <v>164</v>
      </c>
      <c r="AA214" s="6"/>
      <c r="AB214" s="6"/>
      <c r="AC214" s="6"/>
      <c r="AD214" s="6"/>
      <c r="AE214" s="6" t="str">
        <f t="shared" si="19"/>
        <v/>
      </c>
      <c r="AF214" s="6"/>
    </row>
    <row r="215" spans="1:72">
      <c r="A215" s="6">
        <v>123</v>
      </c>
      <c r="B215" s="6">
        <v>123</v>
      </c>
      <c r="C215" s="6">
        <v>8560</v>
      </c>
      <c r="D215" s="6" t="s">
        <v>574</v>
      </c>
      <c r="E215" s="11" t="s">
        <v>575</v>
      </c>
      <c r="F215" s="14" t="s">
        <v>576</v>
      </c>
      <c r="G215" s="14" t="s">
        <v>577</v>
      </c>
      <c r="H215" s="14" t="s">
        <v>575</v>
      </c>
      <c r="I215" s="6" t="s">
        <v>571</v>
      </c>
      <c r="J215" s="6" t="s">
        <v>572</v>
      </c>
      <c r="K215" s="6">
        <v>1</v>
      </c>
      <c r="L215" s="6">
        <v>1</v>
      </c>
      <c r="M215" s="6" t="str" cm="1">
        <f t="array" ref="M215">_xlfn.SWITCH(L215,
1,"resident",
1.5,"resident and short-distance migrant",
2,"short-distance migrant",
2.5,"short- and long-distance migrant",
3,"long-distance migrant",
"")</f>
        <v>resident</v>
      </c>
      <c r="N215" s="6" t="s">
        <v>573</v>
      </c>
      <c r="O215" s="6" t="s">
        <v>573</v>
      </c>
      <c r="P215" s="6"/>
      <c r="Q215" s="6" t="str">
        <f t="shared" si="17"/>
        <v>Woodpeckers</v>
      </c>
      <c r="R215" s="6">
        <v>16.628175519999999</v>
      </c>
      <c r="S215" s="6">
        <v>20.877598150000001</v>
      </c>
      <c r="T215" s="6">
        <v>23.371824480000001</v>
      </c>
      <c r="U215" s="6">
        <f t="shared" si="18"/>
        <v>60.877598149999997</v>
      </c>
      <c r="V215" s="7">
        <f t="shared" si="20"/>
        <v>1323.4260467391305</v>
      </c>
      <c r="W215" s="6" t="s">
        <v>24</v>
      </c>
      <c r="X215" s="6" t="s">
        <v>24</v>
      </c>
      <c r="Y215" s="6" t="s">
        <v>24</v>
      </c>
      <c r="Z215" s="6" t="s">
        <v>25</v>
      </c>
      <c r="AA215" s="6"/>
      <c r="AB215" s="6"/>
      <c r="AC215" s="6"/>
      <c r="AD215" s="6"/>
      <c r="AE215" s="6" t="str">
        <f t="shared" si="19"/>
        <v/>
      </c>
      <c r="AF215" s="6"/>
    </row>
    <row r="216" spans="1:72">
      <c r="A216" s="6">
        <v>4</v>
      </c>
      <c r="B216" s="6">
        <v>4</v>
      </c>
      <c r="C216" s="6">
        <v>110</v>
      </c>
      <c r="D216" s="6" t="s">
        <v>36</v>
      </c>
      <c r="E216" s="11" t="s">
        <v>37</v>
      </c>
      <c r="F216" s="14" t="s">
        <v>38</v>
      </c>
      <c r="G216" s="14" t="s">
        <v>39</v>
      </c>
      <c r="H216" s="14" t="s">
        <v>37</v>
      </c>
      <c r="I216" s="6" t="s">
        <v>21</v>
      </c>
      <c r="J216" s="6" t="s">
        <v>22</v>
      </c>
      <c r="K216" s="6">
        <v>3</v>
      </c>
      <c r="L216" s="6">
        <v>1.5</v>
      </c>
      <c r="M216" s="6" t="str" cm="1">
        <f t="array" ref="M216">_xlfn.SWITCH(L216,
1,"resident",
1.5,"resident and short-distance migrant",
2,"short-distance migrant",
2.5,"short- and long-distance migrant",
3,"long-distance migrant",
"")</f>
        <v>resident and short-distance migrant</v>
      </c>
      <c r="N216" s="6" t="s">
        <v>23</v>
      </c>
      <c r="O216" s="6"/>
      <c r="P216" s="6"/>
      <c r="Q216" s="6" t="str">
        <f t="shared" si="17"/>
        <v>Aquatic pursuers</v>
      </c>
      <c r="R216" s="6">
        <v>0</v>
      </c>
      <c r="S216" s="6">
        <v>9.2378752999999994E-2</v>
      </c>
      <c r="T216" s="6">
        <v>4.6189375999999997E-2</v>
      </c>
      <c r="U216" s="6">
        <f t="shared" si="18"/>
        <v>0.13856812899999998</v>
      </c>
      <c r="V216" s="7">
        <f t="shared" si="20"/>
        <v>3.0123506304347822</v>
      </c>
      <c r="W216" s="6" t="s">
        <v>24</v>
      </c>
      <c r="X216" s="6" t="s">
        <v>24</v>
      </c>
      <c r="Y216" s="6" t="s">
        <v>30</v>
      </c>
      <c r="Z216" s="6" t="s">
        <v>31</v>
      </c>
      <c r="AA216" s="6"/>
      <c r="AB216" s="6"/>
      <c r="AC216" s="6"/>
      <c r="AD216" s="6"/>
      <c r="AE216" s="6">
        <f t="shared" si="19"/>
        <v>1</v>
      </c>
      <c r="AF216" s="6"/>
    </row>
    <row r="217" spans="1:72">
      <c r="A217" s="6">
        <v>2</v>
      </c>
      <c r="B217" s="6">
        <v>2</v>
      </c>
      <c r="C217" s="6">
        <v>90</v>
      </c>
      <c r="D217" s="6" t="s">
        <v>26</v>
      </c>
      <c r="E217" s="11" t="s">
        <v>27</v>
      </c>
      <c r="F217" s="14" t="s">
        <v>28</v>
      </c>
      <c r="G217" s="14" t="s">
        <v>29</v>
      </c>
      <c r="H217" s="14" t="s">
        <v>27</v>
      </c>
      <c r="I217" s="6" t="s">
        <v>21</v>
      </c>
      <c r="J217" s="6" t="s">
        <v>22</v>
      </c>
      <c r="K217" s="6">
        <v>1</v>
      </c>
      <c r="L217" s="6">
        <v>2</v>
      </c>
      <c r="M217" s="6" t="str" cm="1">
        <f t="array" ref="M217">_xlfn.SWITCH(L217,
1,"resident",
1.5,"resident and short-distance migrant",
2,"short-distance migrant",
2.5,"short- and long-distance migrant",
3,"long-distance migrant",
"")</f>
        <v>short-distance migrant</v>
      </c>
      <c r="N217" s="6" t="s">
        <v>23</v>
      </c>
      <c r="O217" s="6" t="s">
        <v>23</v>
      </c>
      <c r="P217" s="6"/>
      <c r="Q217" s="6" t="str">
        <f t="shared" si="17"/>
        <v>Aquatic pursuers</v>
      </c>
      <c r="R217" s="6">
        <v>20.230946880000001</v>
      </c>
      <c r="S217" s="6">
        <v>26.18937644</v>
      </c>
      <c r="T217" s="6">
        <v>22.586605079999998</v>
      </c>
      <c r="U217" s="6">
        <f t="shared" si="18"/>
        <v>69.006928399999993</v>
      </c>
      <c r="V217" s="7">
        <f t="shared" si="20"/>
        <v>1500.1506173913042</v>
      </c>
      <c r="W217" s="6" t="s">
        <v>24</v>
      </c>
      <c r="X217" s="6" t="s">
        <v>24</v>
      </c>
      <c r="Y217" s="6" t="s">
        <v>30</v>
      </c>
      <c r="Z217" s="6" t="s">
        <v>31</v>
      </c>
      <c r="AA217" s="6"/>
      <c r="AB217" s="6"/>
      <c r="AC217" s="6"/>
      <c r="AD217" s="6"/>
      <c r="AE217" s="6" t="str">
        <f t="shared" si="19"/>
        <v/>
      </c>
      <c r="AF217" s="6"/>
    </row>
    <row r="218" spans="1:72">
      <c r="A218" s="6">
        <v>3</v>
      </c>
      <c r="B218" s="6">
        <v>3</v>
      </c>
      <c r="C218" s="6">
        <v>100</v>
      </c>
      <c r="D218" s="6" t="s">
        <v>32</v>
      </c>
      <c r="E218" s="11" t="s">
        <v>33</v>
      </c>
      <c r="F218" s="14" t="s">
        <v>34</v>
      </c>
      <c r="G218" s="14" t="s">
        <v>35</v>
      </c>
      <c r="H218" s="14" t="s">
        <v>33</v>
      </c>
      <c r="I218" s="6" t="s">
        <v>21</v>
      </c>
      <c r="J218" s="6" t="s">
        <v>22</v>
      </c>
      <c r="K218" s="6">
        <v>3</v>
      </c>
      <c r="L218" s="6">
        <v>2</v>
      </c>
      <c r="M218" s="6" t="str" cm="1">
        <f t="array" ref="M218">_xlfn.SWITCH(L218,
1,"resident",
1.5,"resident and short-distance migrant",
2,"short-distance migrant",
2.5,"short- and long-distance migrant",
3,"long-distance migrant",
"")</f>
        <v>short-distance migrant</v>
      </c>
      <c r="N218" s="6" t="s">
        <v>23</v>
      </c>
      <c r="O218" s="6" t="s">
        <v>23</v>
      </c>
      <c r="P218" s="6"/>
      <c r="Q218" s="6" t="str">
        <f t="shared" si="17"/>
        <v>Aquatic pursuers</v>
      </c>
      <c r="R218" s="6">
        <v>12.9330254</v>
      </c>
      <c r="S218" s="6">
        <v>24.572748270000002</v>
      </c>
      <c r="T218" s="6">
        <v>30.207852190000001</v>
      </c>
      <c r="U218" s="6">
        <f t="shared" si="18"/>
        <v>67.713625860000008</v>
      </c>
      <c r="V218" s="7">
        <f t="shared" si="20"/>
        <v>1472.0353447826089</v>
      </c>
      <c r="W218" s="6" t="s">
        <v>24</v>
      </c>
      <c r="X218" s="6" t="s">
        <v>24</v>
      </c>
      <c r="Y218" s="6" t="s">
        <v>24</v>
      </c>
      <c r="Z218" s="6" t="s">
        <v>25</v>
      </c>
      <c r="AA218" s="6"/>
      <c r="AB218" s="6"/>
      <c r="AC218" s="6"/>
      <c r="AD218" s="6"/>
      <c r="AE218" s="6" t="str">
        <f t="shared" si="19"/>
        <v/>
      </c>
      <c r="AF218" s="6"/>
    </row>
    <row r="219" spans="1:72">
      <c r="A219" s="6">
        <v>5</v>
      </c>
      <c r="B219" s="6">
        <v>5</v>
      </c>
      <c r="C219" s="6">
        <v>120</v>
      </c>
      <c r="D219" s="6" t="s">
        <v>40</v>
      </c>
      <c r="E219" s="11" t="s">
        <v>41</v>
      </c>
      <c r="F219" s="14" t="s">
        <v>42</v>
      </c>
      <c r="G219" s="14" t="s">
        <v>43</v>
      </c>
      <c r="H219" s="14" t="s">
        <v>41</v>
      </c>
      <c r="I219" s="6" t="s">
        <v>21</v>
      </c>
      <c r="J219" s="6" t="s">
        <v>22</v>
      </c>
      <c r="K219" s="6">
        <v>3</v>
      </c>
      <c r="L219" s="6">
        <v>2</v>
      </c>
      <c r="M219" s="6" t="str" cm="1">
        <f t="array" ref="M219">_xlfn.SWITCH(L219,
1,"resident",
1.5,"resident and short-distance migrant",
2,"short-distance migrant",
2.5,"short- and long-distance migrant",
3,"long-distance migrant",
"")</f>
        <v>short-distance migrant</v>
      </c>
      <c r="N219" s="6"/>
      <c r="O219" s="6" t="s">
        <v>23</v>
      </c>
      <c r="P219" s="6"/>
      <c r="Q219" s="6" t="str">
        <f t="shared" si="17"/>
        <v>Aquatic pursuers</v>
      </c>
      <c r="R219" s="6">
        <v>1.4318706699999999</v>
      </c>
      <c r="S219" s="6">
        <v>2.4942263279999999</v>
      </c>
      <c r="T219" s="6">
        <v>2.2170900690000002</v>
      </c>
      <c r="U219" s="6">
        <f t="shared" si="18"/>
        <v>6.1431870669999995</v>
      </c>
      <c r="V219" s="7">
        <f t="shared" si="20"/>
        <v>133.54754493478259</v>
      </c>
      <c r="W219" s="6" t="s">
        <v>24</v>
      </c>
      <c r="X219" s="6" t="s">
        <v>24</v>
      </c>
      <c r="Y219" s="6" t="s">
        <v>30</v>
      </c>
      <c r="Z219" s="6" t="s">
        <v>31</v>
      </c>
      <c r="AA219" s="6"/>
      <c r="AB219" s="6"/>
      <c r="AC219" s="6"/>
      <c r="AD219" s="6"/>
      <c r="AE219" s="6" t="str">
        <f t="shared" si="19"/>
        <v/>
      </c>
      <c r="AF219" s="6"/>
    </row>
    <row r="220" spans="1:72" s="3" customFormat="1">
      <c r="A220" s="6">
        <v>1</v>
      </c>
      <c r="B220" s="6">
        <v>1</v>
      </c>
      <c r="C220" s="6">
        <v>70</v>
      </c>
      <c r="D220" s="6" t="s">
        <v>17</v>
      </c>
      <c r="E220" s="11" t="s">
        <v>18</v>
      </c>
      <c r="F220" s="14" t="s">
        <v>19</v>
      </c>
      <c r="G220" s="14" t="s">
        <v>20</v>
      </c>
      <c r="H220" s="14" t="s">
        <v>18</v>
      </c>
      <c r="I220" s="6" t="s">
        <v>21</v>
      </c>
      <c r="J220" s="6" t="s">
        <v>22</v>
      </c>
      <c r="K220" s="6">
        <v>1</v>
      </c>
      <c r="L220" s="6">
        <v>1.5</v>
      </c>
      <c r="M220" s="6" t="str" cm="1">
        <f t="array" ref="M220">_xlfn.SWITCH(L220,
1,"resident",
1.5,"resident and short-distance migrant",
2,"short-distance migrant",
2.5,"short- and long-distance migrant",
3,"long-distance migrant",
"")</f>
        <v>resident and short-distance migrant</v>
      </c>
      <c r="N220" s="6" t="s">
        <v>23</v>
      </c>
      <c r="O220" s="6" t="s">
        <v>23</v>
      </c>
      <c r="P220" s="6"/>
      <c r="Q220" s="6" t="str">
        <f t="shared" si="17"/>
        <v>Aquatic pursuers</v>
      </c>
      <c r="R220" s="6">
        <v>15.56581986</v>
      </c>
      <c r="S220" s="6">
        <v>30.85450346</v>
      </c>
      <c r="T220" s="6">
        <v>37.36720554</v>
      </c>
      <c r="U220" s="6">
        <f t="shared" si="18"/>
        <v>83.787528860000009</v>
      </c>
      <c r="V220" s="7">
        <f t="shared" si="20"/>
        <v>1821.4680186956523</v>
      </c>
      <c r="W220" s="6" t="s">
        <v>24</v>
      </c>
      <c r="X220" s="6" t="s">
        <v>24</v>
      </c>
      <c r="Y220" s="6" t="s">
        <v>24</v>
      </c>
      <c r="Z220" s="6" t="s">
        <v>25</v>
      </c>
      <c r="AA220" s="6"/>
      <c r="AB220" s="6"/>
      <c r="AC220" s="6"/>
      <c r="AD220" s="6"/>
      <c r="AE220" s="6" t="str">
        <f t="shared" si="19"/>
        <v/>
      </c>
      <c r="AF220" s="6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</row>
    <row r="221" spans="1:72" s="2" customFormat="1">
      <c r="A221" s="5">
        <v>6</v>
      </c>
      <c r="B221" s="5">
        <v>6</v>
      </c>
      <c r="C221" s="5">
        <v>220</v>
      </c>
      <c r="D221" s="5" t="s">
        <v>44</v>
      </c>
      <c r="E221" s="16" t="s">
        <v>45</v>
      </c>
      <c r="F221" s="17" t="s">
        <v>46</v>
      </c>
      <c r="G221" s="17" t="s">
        <v>47</v>
      </c>
      <c r="H221" s="17" t="s">
        <v>45</v>
      </c>
      <c r="I221" s="5" t="s">
        <v>48</v>
      </c>
      <c r="J221" s="5" t="s">
        <v>49</v>
      </c>
      <c r="K221" s="5">
        <v>3</v>
      </c>
      <c r="L221" s="5"/>
      <c r="M221" s="5" t="str" cm="1">
        <f t="array" ref="M221">_xlfn.SWITCH(L221,
1,"resident",
1.5,"resident and short-distance migrant",
2,"short-distance migrant",
2.5,"short- and long-distance migrant",
3,"long-distance migrant",
"")</f>
        <v/>
      </c>
      <c r="N221" s="5"/>
      <c r="O221" s="5"/>
      <c r="P221" s="5" t="s">
        <v>1031</v>
      </c>
      <c r="Q221" s="5" t="str">
        <f t="shared" si="17"/>
        <v>Marine "something"</v>
      </c>
      <c r="R221" s="5">
        <v>0</v>
      </c>
      <c r="S221" s="5">
        <v>0</v>
      </c>
      <c r="T221" s="5">
        <v>0</v>
      </c>
      <c r="U221" s="5">
        <f t="shared" si="18"/>
        <v>0</v>
      </c>
      <c r="V221" s="18">
        <f t="shared" si="20"/>
        <v>0</v>
      </c>
      <c r="W221" s="5" t="s">
        <v>50</v>
      </c>
      <c r="X221" s="5" t="s">
        <v>50</v>
      </c>
      <c r="Y221" s="5" t="s">
        <v>50</v>
      </c>
      <c r="Z221" s="5" t="s">
        <v>51</v>
      </c>
      <c r="AA221" s="5" t="s">
        <v>1035</v>
      </c>
      <c r="AB221" s="5">
        <v>1</v>
      </c>
      <c r="AC221" s="5"/>
      <c r="AD221" s="5"/>
      <c r="AE221" s="5">
        <f t="shared" si="19"/>
        <v>1</v>
      </c>
      <c r="AF221" s="5"/>
      <c r="AG221" s="2">
        <v>1</v>
      </c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</row>
    <row r="222" spans="1:72" s="2" customFormat="1">
      <c r="A222" s="5">
        <v>116</v>
      </c>
      <c r="B222" s="5">
        <v>116</v>
      </c>
      <c r="C222" s="5">
        <v>7700</v>
      </c>
      <c r="D222" s="5" t="s">
        <v>533</v>
      </c>
      <c r="E222" s="16" t="s">
        <v>534</v>
      </c>
      <c r="F222" s="17" t="s">
        <v>535</v>
      </c>
      <c r="G222" s="17" t="s">
        <v>536</v>
      </c>
      <c r="H222" s="17" t="s">
        <v>534</v>
      </c>
      <c r="I222" s="5" t="s">
        <v>515</v>
      </c>
      <c r="J222" s="5" t="s">
        <v>510</v>
      </c>
      <c r="K222" s="5">
        <v>2</v>
      </c>
      <c r="L222" s="5">
        <v>1</v>
      </c>
      <c r="M222" s="5" t="str" cm="1">
        <f t="array" ref="M222">_xlfn.SWITCH(L222,
1,"resident",
1.5,"resident and short-distance migrant",
2,"short-distance migrant",
2.5,"short- and long-distance migrant",
3,"long-distance migrant",
"")</f>
        <v>resident</v>
      </c>
      <c r="N222" s="5"/>
      <c r="O222" s="5"/>
      <c r="P222" s="5" t="s">
        <v>520</v>
      </c>
      <c r="Q222" s="5" t="str">
        <f t="shared" si="17"/>
        <v>Owls</v>
      </c>
      <c r="R222" s="5">
        <v>0</v>
      </c>
      <c r="S222" s="5">
        <v>9.2378752999999994E-2</v>
      </c>
      <c r="T222" s="5">
        <v>0.64665127</v>
      </c>
      <c r="U222" s="5">
        <f t="shared" si="18"/>
        <v>0.73903002299999998</v>
      </c>
      <c r="V222" s="18">
        <f t="shared" si="20"/>
        <v>16.065870065217393</v>
      </c>
      <c r="W222" s="5" t="s">
        <v>24</v>
      </c>
      <c r="X222" s="5" t="s">
        <v>24</v>
      </c>
      <c r="Y222" s="5" t="s">
        <v>24</v>
      </c>
      <c r="Z222" s="5" t="s">
        <v>25</v>
      </c>
      <c r="AA222" s="5" t="s">
        <v>1043</v>
      </c>
      <c r="AB222" s="5"/>
      <c r="AC222" s="5"/>
      <c r="AD222" s="5">
        <v>1</v>
      </c>
      <c r="AE222" s="5" t="str">
        <f t="shared" si="19"/>
        <v/>
      </c>
      <c r="AF222" s="5"/>
      <c r="AG222" s="2">
        <v>1</v>
      </c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</row>
    <row r="223" spans="1:72">
      <c r="A223" s="6">
        <v>115</v>
      </c>
      <c r="B223" s="6">
        <v>115</v>
      </c>
      <c r="C223" s="6">
        <v>7680</v>
      </c>
      <c r="D223" s="6" t="s">
        <v>529</v>
      </c>
      <c r="E223" s="11" t="s">
        <v>530</v>
      </c>
      <c r="F223" s="14" t="s">
        <v>531</v>
      </c>
      <c r="G223" s="14" t="s">
        <v>532</v>
      </c>
      <c r="H223" s="14" t="s">
        <v>530</v>
      </c>
      <c r="I223" s="6" t="s">
        <v>515</v>
      </c>
      <c r="J223" s="6" t="s">
        <v>510</v>
      </c>
      <c r="K223" s="6">
        <v>3</v>
      </c>
      <c r="L223" s="6">
        <v>1.5</v>
      </c>
      <c r="M223" s="6" t="str" cm="1">
        <f t="array" ref="M223">_xlfn.SWITCH(L223,
1,"resident",
1.5,"resident and short-distance migrant",
2,"short-distance migrant",
2.5,"short- and long-distance migrant",
3,"long-distance migrant",
"")</f>
        <v>resident and short-distance migrant</v>
      </c>
      <c r="N223" s="6" t="s">
        <v>520</v>
      </c>
      <c r="O223" s="6" t="s">
        <v>520</v>
      </c>
      <c r="P223" s="6"/>
      <c r="Q223" s="6" t="str">
        <f t="shared" si="17"/>
        <v>Owls</v>
      </c>
      <c r="R223" s="6">
        <v>2.0785219399999999</v>
      </c>
      <c r="S223" s="6">
        <v>0.69284064700000003</v>
      </c>
      <c r="T223" s="6">
        <v>0.36951501199999998</v>
      </c>
      <c r="U223" s="6">
        <f t="shared" si="18"/>
        <v>3.140877599</v>
      </c>
      <c r="V223" s="7">
        <f t="shared" si="20"/>
        <v>68.279947804347827</v>
      </c>
      <c r="W223" s="6" t="s">
        <v>30</v>
      </c>
      <c r="X223" s="6" t="s">
        <v>30</v>
      </c>
      <c r="Y223" s="6" t="s">
        <v>30</v>
      </c>
      <c r="Z223" s="6" t="s">
        <v>84</v>
      </c>
      <c r="AA223" s="6"/>
      <c r="AB223" s="6"/>
      <c r="AC223" s="6"/>
      <c r="AD223" s="6"/>
      <c r="AE223" s="6" t="str">
        <f t="shared" si="19"/>
        <v/>
      </c>
      <c r="AF223" s="6"/>
    </row>
    <row r="224" spans="1:72">
      <c r="A224" s="6">
        <v>114</v>
      </c>
      <c r="B224" s="6">
        <v>114</v>
      </c>
      <c r="C224" s="6">
        <v>7670</v>
      </c>
      <c r="D224" s="6" t="s">
        <v>525</v>
      </c>
      <c r="E224" s="11" t="s">
        <v>526</v>
      </c>
      <c r="F224" s="14" t="s">
        <v>527</v>
      </c>
      <c r="G224" s="14" t="s">
        <v>528</v>
      </c>
      <c r="H224" s="14" t="s">
        <v>526</v>
      </c>
      <c r="I224" s="6" t="s">
        <v>515</v>
      </c>
      <c r="J224" s="6" t="s">
        <v>510</v>
      </c>
      <c r="K224" s="6">
        <v>2</v>
      </c>
      <c r="L224" s="6">
        <v>1</v>
      </c>
      <c r="M224" s="6" t="str" cm="1">
        <f t="array" ref="M224">_xlfn.SWITCH(L224,
1,"resident",
1.5,"resident and short-distance migrant",
2,"short-distance migrant",
2.5,"short- and long-distance migrant",
3,"long-distance migrant",
"")</f>
        <v>resident</v>
      </c>
      <c r="N224" s="6" t="s">
        <v>520</v>
      </c>
      <c r="O224" s="6"/>
      <c r="P224" s="6"/>
      <c r="Q224" s="6" t="str">
        <f t="shared" si="17"/>
        <v>Owls</v>
      </c>
      <c r="R224" s="6">
        <v>19.722863740000001</v>
      </c>
      <c r="S224" s="6">
        <v>31.270207849999998</v>
      </c>
      <c r="T224" s="6">
        <v>27.436489609999999</v>
      </c>
      <c r="U224" s="6">
        <f t="shared" si="18"/>
        <v>78.429561199999995</v>
      </c>
      <c r="V224" s="7">
        <f t="shared" si="20"/>
        <v>1704.9904608695651</v>
      </c>
      <c r="W224" s="6" t="s">
        <v>24</v>
      </c>
      <c r="X224" s="6" t="s">
        <v>24</v>
      </c>
      <c r="Y224" s="6" t="s">
        <v>30</v>
      </c>
      <c r="Z224" s="6" t="s">
        <v>31</v>
      </c>
      <c r="AA224" s="6"/>
      <c r="AB224" s="6"/>
      <c r="AC224" s="6"/>
      <c r="AD224" s="6"/>
      <c r="AE224" s="6" t="str">
        <f t="shared" si="19"/>
        <v/>
      </c>
      <c r="AF224" s="6"/>
    </row>
    <row r="225" spans="1:72">
      <c r="A225" s="6">
        <v>112</v>
      </c>
      <c r="B225" s="6">
        <v>112</v>
      </c>
      <c r="C225" s="6">
        <v>7570</v>
      </c>
      <c r="D225" s="6" t="s">
        <v>516</v>
      </c>
      <c r="E225" s="11" t="s">
        <v>517</v>
      </c>
      <c r="F225" s="14" t="s">
        <v>518</v>
      </c>
      <c r="G225" s="14" t="s">
        <v>519</v>
      </c>
      <c r="H225" s="14" t="s">
        <v>517</v>
      </c>
      <c r="I225" s="6" t="s">
        <v>515</v>
      </c>
      <c r="J225" s="6" t="s">
        <v>510</v>
      </c>
      <c r="K225" s="6">
        <v>1</v>
      </c>
      <c r="L225" s="6">
        <v>1</v>
      </c>
      <c r="M225" s="6" t="str" cm="1">
        <f t="array" ref="M225">_xlfn.SWITCH(L225,
1,"resident",
1.5,"resident and short-distance migrant",
2,"short-distance migrant",
2.5,"short- and long-distance migrant",
3,"long-distance migrant",
"")</f>
        <v>resident</v>
      </c>
      <c r="N225" s="6" t="s">
        <v>520</v>
      </c>
      <c r="O225" s="6"/>
      <c r="P225" s="6"/>
      <c r="Q225" s="6" t="str">
        <f t="shared" ref="Q225:Q229" si="21">IF(NOT(ISBLANK(P225)), P225, IF(NOT(ISBLANK(O225)), O225, N225))</f>
        <v>Owls</v>
      </c>
      <c r="R225" s="6">
        <v>15.612009240000001</v>
      </c>
      <c r="S225" s="6">
        <v>5.080831409</v>
      </c>
      <c r="T225" s="6">
        <v>1.2009237880000001</v>
      </c>
      <c r="U225" s="6">
        <f t="shared" si="18"/>
        <v>21.893764437000002</v>
      </c>
      <c r="V225" s="7">
        <f t="shared" si="20"/>
        <v>475.95140080434788</v>
      </c>
      <c r="W225" s="6" t="s">
        <v>30</v>
      </c>
      <c r="X225" s="6" t="s">
        <v>30</v>
      </c>
      <c r="Y225" s="6" t="s">
        <v>30</v>
      </c>
      <c r="Z225" s="6" t="s">
        <v>84</v>
      </c>
      <c r="AA225" s="6"/>
      <c r="AB225" s="6"/>
      <c r="AC225" s="6"/>
      <c r="AD225" s="6"/>
      <c r="AE225" s="6" t="str">
        <f t="shared" si="19"/>
        <v/>
      </c>
      <c r="AF225" s="6"/>
    </row>
    <row r="226" spans="1:72">
      <c r="A226" s="6">
        <v>111</v>
      </c>
      <c r="B226" s="6">
        <v>111</v>
      </c>
      <c r="C226" s="6">
        <v>7440</v>
      </c>
      <c r="D226" s="6" t="s">
        <v>511</v>
      </c>
      <c r="E226" s="11" t="s">
        <v>512</v>
      </c>
      <c r="F226" s="14" t="s">
        <v>513</v>
      </c>
      <c r="G226" s="14" t="s">
        <v>514</v>
      </c>
      <c r="H226" s="14" t="s">
        <v>512</v>
      </c>
      <c r="I226" s="6" t="s">
        <v>515</v>
      </c>
      <c r="J226" s="6" t="s">
        <v>510</v>
      </c>
      <c r="K226" s="6">
        <v>1</v>
      </c>
      <c r="L226" s="6">
        <v>1</v>
      </c>
      <c r="M226" s="6" t="str" cm="1">
        <f t="array" ref="M226">_xlfn.SWITCH(L226,
1,"resident",
1.5,"resident and short-distance migrant",
2,"short-distance migrant",
2.5,"short- and long-distance migrant",
3,"long-distance migrant",
"")</f>
        <v>resident</v>
      </c>
      <c r="N226" s="6"/>
      <c r="O226" s="6"/>
      <c r="P226" s="6" t="s">
        <v>520</v>
      </c>
      <c r="Q226" s="6" t="str">
        <f t="shared" si="21"/>
        <v>Owls</v>
      </c>
      <c r="R226" s="6">
        <v>0</v>
      </c>
      <c r="S226" s="6">
        <v>1.29330254</v>
      </c>
      <c r="T226" s="6">
        <v>4.8498845270000004</v>
      </c>
      <c r="U226" s="6">
        <f t="shared" si="18"/>
        <v>6.1431870670000004</v>
      </c>
      <c r="V226" s="7">
        <f t="shared" si="20"/>
        <v>133.54754493478262</v>
      </c>
      <c r="W226" s="6" t="s">
        <v>24</v>
      </c>
      <c r="X226" s="6" t="s">
        <v>24</v>
      </c>
      <c r="Y226" s="6" t="s">
        <v>24</v>
      </c>
      <c r="Z226" s="6" t="s">
        <v>25</v>
      </c>
      <c r="AA226" s="6"/>
      <c r="AB226" s="6"/>
      <c r="AC226" s="6"/>
      <c r="AD226" s="6"/>
      <c r="AE226" s="6" t="str">
        <f t="shared" si="19"/>
        <v/>
      </c>
      <c r="AF226" s="6"/>
    </row>
    <row r="227" spans="1:72" s="1" customFormat="1">
      <c r="A227" s="6">
        <v>113</v>
      </c>
      <c r="B227" s="6">
        <v>113</v>
      </c>
      <c r="C227" s="6">
        <v>7610</v>
      </c>
      <c r="D227" s="6" t="s">
        <v>521</v>
      </c>
      <c r="E227" s="11" t="s">
        <v>522</v>
      </c>
      <c r="F227" s="14" t="s">
        <v>523</v>
      </c>
      <c r="G227" s="14" t="s">
        <v>524</v>
      </c>
      <c r="H227" s="14" t="s">
        <v>522</v>
      </c>
      <c r="I227" s="6" t="s">
        <v>515</v>
      </c>
      <c r="J227" s="6" t="s">
        <v>510</v>
      </c>
      <c r="K227" s="6">
        <v>1</v>
      </c>
      <c r="L227" s="6">
        <v>1</v>
      </c>
      <c r="M227" s="6" t="str" cm="1">
        <f t="array" ref="M227">_xlfn.SWITCH(L227,
1,"resident",
1.5,"resident and short-distance migrant",
2,"short-distance migrant",
2.5,"short- and long-distance migrant",
3,"long-distance migrant",
"")</f>
        <v>resident</v>
      </c>
      <c r="N227" s="6" t="s">
        <v>520</v>
      </c>
      <c r="O227" s="6" t="s">
        <v>520</v>
      </c>
      <c r="P227" s="6"/>
      <c r="Q227" s="6" t="str">
        <f t="shared" si="21"/>
        <v>Owls</v>
      </c>
      <c r="R227" s="6">
        <v>38.152424940000003</v>
      </c>
      <c r="S227" s="6">
        <v>41.478060050000003</v>
      </c>
      <c r="T227" s="6">
        <v>47.066974600000002</v>
      </c>
      <c r="U227" s="6">
        <f t="shared" si="18"/>
        <v>126.69745959000002</v>
      </c>
      <c r="V227" s="7">
        <f t="shared" si="20"/>
        <v>2754.2925997826092</v>
      </c>
      <c r="W227" s="6" t="s">
        <v>24</v>
      </c>
      <c r="X227" s="6" t="s">
        <v>24</v>
      </c>
      <c r="Y227" s="6" t="s">
        <v>24</v>
      </c>
      <c r="Z227" s="6" t="s">
        <v>25</v>
      </c>
      <c r="AA227" s="6"/>
      <c r="AB227" s="6"/>
      <c r="AC227" s="6"/>
      <c r="AD227" s="6"/>
      <c r="AE227" s="6" t="str">
        <f t="shared" si="19"/>
        <v/>
      </c>
      <c r="AF227" s="6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</row>
    <row r="228" spans="1:72">
      <c r="A228" s="6">
        <v>110</v>
      </c>
      <c r="B228" s="6">
        <v>110</v>
      </c>
      <c r="C228" s="6">
        <v>7350</v>
      </c>
      <c r="D228" s="6" t="s">
        <v>505</v>
      </c>
      <c r="E228" s="11" t="s">
        <v>506</v>
      </c>
      <c r="F228" s="14" t="s">
        <v>507</v>
      </c>
      <c r="G228" s="14" t="s">
        <v>508</v>
      </c>
      <c r="H228" s="14" t="s">
        <v>506</v>
      </c>
      <c r="I228" s="6" t="s">
        <v>509</v>
      </c>
      <c r="J228" s="6" t="s">
        <v>510</v>
      </c>
      <c r="K228" s="6">
        <v>1</v>
      </c>
      <c r="L228" s="6">
        <v>1</v>
      </c>
      <c r="M228" s="6" t="str" cm="1">
        <f t="array" ref="M228">_xlfn.SWITCH(L228,
1,"resident",
1.5,"resident and short-distance migrant",
2,"short-distance migrant",
2.5,"short- and long-distance migrant",
3,"long-distance migrant",
"")</f>
        <v>resident</v>
      </c>
      <c r="N228" s="6"/>
      <c r="O228" s="6"/>
      <c r="P228" s="6" t="s">
        <v>520</v>
      </c>
      <c r="Q228" s="6" t="str">
        <f t="shared" si="21"/>
        <v>Owls</v>
      </c>
      <c r="R228" s="6">
        <v>3.3256351039999998</v>
      </c>
      <c r="S228" s="6">
        <v>1.9399538110000001</v>
      </c>
      <c r="T228" s="6">
        <v>7.9445727479999997</v>
      </c>
      <c r="U228" s="6">
        <f t="shared" si="18"/>
        <v>13.210161663000001</v>
      </c>
      <c r="V228" s="7">
        <f t="shared" si="20"/>
        <v>287.17742745652174</v>
      </c>
      <c r="W228" s="6" t="s">
        <v>24</v>
      </c>
      <c r="X228" s="6" t="s">
        <v>30</v>
      </c>
      <c r="Y228" s="6" t="s">
        <v>24</v>
      </c>
      <c r="Z228" s="6" t="s">
        <v>164</v>
      </c>
      <c r="AA228" s="6"/>
      <c r="AB228" s="6"/>
      <c r="AC228" s="6"/>
      <c r="AD228" s="6"/>
      <c r="AE228" s="6" t="str">
        <f t="shared" si="19"/>
        <v/>
      </c>
      <c r="AF228" s="6"/>
    </row>
    <row r="229" spans="1:72">
      <c r="A229" s="6">
        <v>7</v>
      </c>
      <c r="B229" s="6">
        <v>7</v>
      </c>
      <c r="C229" s="6">
        <v>720</v>
      </c>
      <c r="D229" s="6" t="s">
        <v>52</v>
      </c>
      <c r="E229" s="11" t="s">
        <v>53</v>
      </c>
      <c r="F229" s="14" t="s">
        <v>54</v>
      </c>
      <c r="G229" s="14" t="s">
        <v>55</v>
      </c>
      <c r="H229" s="14" t="s">
        <v>53</v>
      </c>
      <c r="I229" s="6" t="s">
        <v>56</v>
      </c>
      <c r="J229" s="6" t="s">
        <v>57</v>
      </c>
      <c r="K229" s="6">
        <v>2</v>
      </c>
      <c r="L229" s="6">
        <v>2</v>
      </c>
      <c r="M229" s="6" t="str" cm="1">
        <f t="array" ref="M229">_xlfn.SWITCH(L229,
1,"resident",
1.5,"resident and short-distance migrant",
2,"short-distance migrant",
2.5,"short- and long-distance migrant",
3,"long-distance migrant",
"")</f>
        <v>short-distance migrant</v>
      </c>
      <c r="N229" s="6" t="s">
        <v>23</v>
      </c>
      <c r="O229" s="6" t="s">
        <v>23</v>
      </c>
      <c r="P229" s="6"/>
      <c r="Q229" s="6" t="str">
        <f t="shared" si="21"/>
        <v>Aquatic pursuers</v>
      </c>
      <c r="R229" s="6">
        <v>0.18475750599999999</v>
      </c>
      <c r="S229" s="6">
        <v>2.4018475750000001</v>
      </c>
      <c r="T229" s="6">
        <v>4.8960739029999996</v>
      </c>
      <c r="U229" s="6">
        <f t="shared" si="18"/>
        <v>7.4826789839999996</v>
      </c>
      <c r="V229" s="7">
        <f t="shared" si="20"/>
        <v>162.6669344347826</v>
      </c>
      <c r="W229" s="6" t="s">
        <v>24</v>
      </c>
      <c r="X229" s="6" t="s">
        <v>24</v>
      </c>
      <c r="Y229" s="6" t="s">
        <v>24</v>
      </c>
      <c r="Z229" s="6" t="s">
        <v>25</v>
      </c>
      <c r="AA229" s="6"/>
      <c r="AB229" s="6"/>
      <c r="AC229" s="6"/>
      <c r="AD229" s="6"/>
      <c r="AE229" s="6" t="str">
        <f t="shared" si="19"/>
        <v/>
      </c>
      <c r="AF229" s="6"/>
    </row>
  </sheetData>
  <sortState xmlns:xlrd2="http://schemas.microsoft.com/office/spreadsheetml/2017/richdata2" ref="A2:AF229">
    <sortCondition ref="J2:J229"/>
    <sortCondition ref="E2:E229"/>
  </sortState>
  <conditionalFormatting sqref="A2:XFD21 A22:AA22 AC22:XFD22 A23:XFD229">
    <cfRule type="expression" dxfId="1" priority="2">
      <formula>"$AA=test"</formula>
    </cfRule>
  </conditionalFormatting>
  <pageMargins left="0.75" right="0.75" top="1" bottom="1" header="0.5" footer="0.5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9319-586D-A647-B6E1-8ED60E48952D}">
  <sheetPr>
    <pageSetUpPr fitToPage="1"/>
  </sheetPr>
  <dimension ref="A1:J229"/>
  <sheetViews>
    <sheetView tabSelected="1" topLeftCell="A21" workbookViewId="0">
      <selection activeCell="B28" sqref="B28"/>
    </sheetView>
  </sheetViews>
  <sheetFormatPr baseColWidth="10" defaultRowHeight="16"/>
  <cols>
    <col min="1" max="1" width="27.6640625" style="12" bestFit="1" customWidth="1"/>
    <col min="2" max="2" width="34" style="15" bestFit="1" customWidth="1"/>
    <col min="3" max="3" width="16.6640625" bestFit="1" customWidth="1"/>
    <col min="4" max="4" width="15.5" bestFit="1" customWidth="1"/>
    <col min="5" max="5" width="30.33203125" bestFit="1" customWidth="1"/>
    <col min="6" max="6" width="27.83203125" customWidth="1"/>
    <col min="7" max="8" width="12.1640625" bestFit="1" customWidth="1"/>
    <col min="9" max="10" width="12.1640625" customWidth="1"/>
  </cols>
  <sheetData>
    <row r="1" spans="1:10">
      <c r="A1" s="20" t="s">
        <v>3</v>
      </c>
      <c r="B1" s="21" t="s">
        <v>4</v>
      </c>
      <c r="C1" s="22" t="s">
        <v>7</v>
      </c>
      <c r="D1" s="22" t="s">
        <v>8</v>
      </c>
      <c r="E1" s="22" t="s">
        <v>1093</v>
      </c>
      <c r="F1" s="22" t="s">
        <v>1057</v>
      </c>
      <c r="G1" s="22" t="s">
        <v>1058</v>
      </c>
      <c r="H1" s="22" t="s">
        <v>1059</v>
      </c>
      <c r="I1" s="22" t="s">
        <v>12</v>
      </c>
      <c r="J1" s="22" t="s">
        <v>1090</v>
      </c>
    </row>
    <row r="2" spans="1:10">
      <c r="A2" s="23" t="s">
        <v>544</v>
      </c>
      <c r="B2" s="24" t="s">
        <v>545</v>
      </c>
      <c r="C2" s="25" t="s">
        <v>547</v>
      </c>
      <c r="D2" s="25" t="s">
        <v>542</v>
      </c>
      <c r="E2" s="25" t="s">
        <v>1095</v>
      </c>
      <c r="F2" s="25" t="s">
        <v>548</v>
      </c>
      <c r="G2" s="25">
        <v>21.755196300000001</v>
      </c>
      <c r="H2" s="25">
        <v>28.637413389999999</v>
      </c>
      <c r="I2" s="25">
        <v>27.15935335</v>
      </c>
      <c r="J2" s="26">
        <v>1685.9122400000001</v>
      </c>
    </row>
    <row r="3" spans="1:10">
      <c r="A3" s="23" t="s">
        <v>618</v>
      </c>
      <c r="B3" s="24" t="s">
        <v>619</v>
      </c>
      <c r="C3" s="25" t="s">
        <v>612</v>
      </c>
      <c r="D3" s="25" t="s">
        <v>599</v>
      </c>
      <c r="E3" s="25" t="s">
        <v>1095</v>
      </c>
      <c r="F3" s="25" t="s">
        <v>548</v>
      </c>
      <c r="G3" s="25">
        <v>66.096997689999995</v>
      </c>
      <c r="H3" s="25">
        <v>79.445727480000002</v>
      </c>
      <c r="I3" s="25">
        <v>84.757505769999995</v>
      </c>
      <c r="J3" s="26">
        <v>5006.5267595652167</v>
      </c>
    </row>
    <row r="4" spans="1:10">
      <c r="A4" s="23" t="s">
        <v>614</v>
      </c>
      <c r="B4" s="24" t="s">
        <v>615</v>
      </c>
      <c r="C4" s="25" t="s">
        <v>612</v>
      </c>
      <c r="D4" s="25" t="s">
        <v>599</v>
      </c>
      <c r="E4" s="25" t="s">
        <v>1095</v>
      </c>
      <c r="F4" s="25" t="s">
        <v>548</v>
      </c>
      <c r="G4" s="25">
        <v>89.745958430000002</v>
      </c>
      <c r="H4" s="25">
        <v>93.949191690000006</v>
      </c>
      <c r="I4" s="25">
        <v>94.226327940000004</v>
      </c>
      <c r="J4" s="26">
        <v>6041.7712621739138</v>
      </c>
    </row>
    <row r="5" spans="1:10">
      <c r="A5" s="23" t="s">
        <v>609</v>
      </c>
      <c r="B5" s="24" t="s">
        <v>610</v>
      </c>
      <c r="C5" s="25" t="s">
        <v>612</v>
      </c>
      <c r="D5" s="25" t="s">
        <v>599</v>
      </c>
      <c r="E5" s="25" t="s">
        <v>1095</v>
      </c>
      <c r="F5" s="25" t="s">
        <v>548</v>
      </c>
      <c r="G5" s="25">
        <v>46.512702079999997</v>
      </c>
      <c r="H5" s="25">
        <v>34.780600460000002</v>
      </c>
      <c r="I5" s="25">
        <v>29.053117780000001</v>
      </c>
      <c r="J5" s="26">
        <v>2398.8352243478262</v>
      </c>
    </row>
    <row r="6" spans="1:10">
      <c r="A6" s="23" t="s">
        <v>198</v>
      </c>
      <c r="B6" s="24" t="s">
        <v>199</v>
      </c>
      <c r="C6" s="25" t="s">
        <v>94</v>
      </c>
      <c r="D6" s="25" t="s">
        <v>95</v>
      </c>
      <c r="E6" s="25" t="s">
        <v>1098</v>
      </c>
      <c r="F6" s="25" t="s">
        <v>23</v>
      </c>
      <c r="G6" s="25">
        <v>0.83140877599999996</v>
      </c>
      <c r="H6" s="25">
        <v>1.709006928</v>
      </c>
      <c r="I6" s="25">
        <v>3.6951501150000001</v>
      </c>
      <c r="J6" s="26">
        <v>135.55577867391304</v>
      </c>
    </row>
    <row r="7" spans="1:10">
      <c r="A7" s="23" t="s">
        <v>194</v>
      </c>
      <c r="B7" s="24" t="s">
        <v>195</v>
      </c>
      <c r="C7" s="25" t="s">
        <v>94</v>
      </c>
      <c r="D7" s="25" t="s">
        <v>95</v>
      </c>
      <c r="E7" s="25" t="s">
        <v>1098</v>
      </c>
      <c r="F7" s="25" t="s">
        <v>23</v>
      </c>
      <c r="G7" s="25">
        <v>16.443418009999998</v>
      </c>
      <c r="H7" s="25">
        <v>16.581986140000001</v>
      </c>
      <c r="I7" s="25">
        <v>9.9769053119999995</v>
      </c>
      <c r="J7" s="26">
        <v>934.8328143913044</v>
      </c>
    </row>
    <row r="8" spans="1:10">
      <c r="A8" s="23" t="s">
        <v>469</v>
      </c>
      <c r="B8" s="24" t="s">
        <v>470</v>
      </c>
      <c r="C8" s="25" t="s">
        <v>467</v>
      </c>
      <c r="D8" s="25" t="s">
        <v>316</v>
      </c>
      <c r="E8" s="25" t="s">
        <v>1098</v>
      </c>
      <c r="F8" s="25" t="s">
        <v>23</v>
      </c>
      <c r="G8" s="25">
        <v>4.6189375999999997E-2</v>
      </c>
      <c r="H8" s="25">
        <v>9.2378752999999994E-2</v>
      </c>
      <c r="I8" s="25">
        <v>0.13856812900000001</v>
      </c>
      <c r="J8" s="26">
        <v>6.0247012608695645</v>
      </c>
    </row>
    <row r="9" spans="1:10">
      <c r="A9" s="23" t="s">
        <v>472</v>
      </c>
      <c r="B9" s="24" t="s">
        <v>473</v>
      </c>
      <c r="C9" s="25" t="s">
        <v>467</v>
      </c>
      <c r="D9" s="25" t="s">
        <v>316</v>
      </c>
      <c r="E9" s="25" t="s">
        <v>1096</v>
      </c>
      <c r="F9" s="25" t="s">
        <v>23</v>
      </c>
      <c r="G9" s="25">
        <v>0.87759815200000002</v>
      </c>
      <c r="H9" s="25">
        <v>0.92378752900000005</v>
      </c>
      <c r="I9" s="25">
        <v>1.29330254</v>
      </c>
      <c r="J9" s="26">
        <v>67.275830891304352</v>
      </c>
    </row>
    <row r="10" spans="1:10">
      <c r="A10" s="23" t="s">
        <v>464</v>
      </c>
      <c r="B10" s="24" t="s">
        <v>465</v>
      </c>
      <c r="C10" s="25" t="s">
        <v>467</v>
      </c>
      <c r="D10" s="25" t="s">
        <v>316</v>
      </c>
      <c r="E10" s="25" t="s">
        <v>1098</v>
      </c>
      <c r="F10" s="25" t="s">
        <v>23</v>
      </c>
      <c r="G10" s="25">
        <v>4.6189375999999997E-2</v>
      </c>
      <c r="H10" s="25">
        <v>4.6189375999999997E-2</v>
      </c>
      <c r="I10" s="25">
        <v>0.13856812900000001</v>
      </c>
      <c r="J10" s="26">
        <v>5.020584369565217</v>
      </c>
    </row>
    <row r="11" spans="1:10">
      <c r="A11" s="23" t="s">
        <v>37</v>
      </c>
      <c r="B11" s="24" t="s">
        <v>38</v>
      </c>
      <c r="C11" s="25" t="s">
        <v>21</v>
      </c>
      <c r="D11" s="25" t="s">
        <v>22</v>
      </c>
      <c r="E11" s="25" t="s">
        <v>1096</v>
      </c>
      <c r="F11" s="25" t="s">
        <v>23</v>
      </c>
      <c r="G11" s="25">
        <v>0</v>
      </c>
      <c r="H11" s="25">
        <v>9.2378752999999994E-2</v>
      </c>
      <c r="I11" s="25">
        <v>4.6189375999999997E-2</v>
      </c>
      <c r="J11" s="26">
        <v>3.0123506304347822</v>
      </c>
    </row>
    <row r="12" spans="1:10">
      <c r="A12" s="23" t="s">
        <v>27</v>
      </c>
      <c r="B12" s="24" t="s">
        <v>28</v>
      </c>
      <c r="C12" s="25" t="s">
        <v>21</v>
      </c>
      <c r="D12" s="25" t="s">
        <v>22</v>
      </c>
      <c r="E12" s="25" t="s">
        <v>1098</v>
      </c>
      <c r="F12" s="25" t="s">
        <v>23</v>
      </c>
      <c r="G12" s="25">
        <v>20.230946880000001</v>
      </c>
      <c r="H12" s="25">
        <v>26.18937644</v>
      </c>
      <c r="I12" s="25">
        <v>22.586605079999998</v>
      </c>
      <c r="J12" s="26">
        <v>1500.1506173913042</v>
      </c>
    </row>
    <row r="13" spans="1:10">
      <c r="A13" s="23" t="s">
        <v>33</v>
      </c>
      <c r="B13" s="24" t="s">
        <v>34</v>
      </c>
      <c r="C13" s="25" t="s">
        <v>21</v>
      </c>
      <c r="D13" s="25" t="s">
        <v>22</v>
      </c>
      <c r="E13" s="25" t="s">
        <v>1098</v>
      </c>
      <c r="F13" s="25" t="s">
        <v>23</v>
      </c>
      <c r="G13" s="25">
        <v>12.9330254</v>
      </c>
      <c r="H13" s="25">
        <v>24.572748270000002</v>
      </c>
      <c r="I13" s="25">
        <v>30.207852190000001</v>
      </c>
      <c r="J13" s="26">
        <v>1472.0353447826089</v>
      </c>
    </row>
    <row r="14" spans="1:10">
      <c r="A14" s="23" t="s">
        <v>41</v>
      </c>
      <c r="B14" s="24" t="s">
        <v>42</v>
      </c>
      <c r="C14" s="25" t="s">
        <v>21</v>
      </c>
      <c r="D14" s="25" t="s">
        <v>22</v>
      </c>
      <c r="E14" s="25" t="s">
        <v>1098</v>
      </c>
      <c r="F14" s="25" t="s">
        <v>23</v>
      </c>
      <c r="G14" s="25">
        <v>1.4318706699999999</v>
      </c>
      <c r="H14" s="25">
        <v>2.4942263279999999</v>
      </c>
      <c r="I14" s="25">
        <v>2.2170900690000002</v>
      </c>
      <c r="J14" s="26">
        <v>133.54754493478259</v>
      </c>
    </row>
    <row r="15" spans="1:10">
      <c r="A15" s="23" t="s">
        <v>18</v>
      </c>
      <c r="B15" s="24" t="s">
        <v>19</v>
      </c>
      <c r="C15" s="25" t="s">
        <v>21</v>
      </c>
      <c r="D15" s="25" t="s">
        <v>22</v>
      </c>
      <c r="E15" s="25" t="s">
        <v>1096</v>
      </c>
      <c r="F15" s="25" t="s">
        <v>23</v>
      </c>
      <c r="G15" s="25">
        <v>15.56581986</v>
      </c>
      <c r="H15" s="25">
        <v>30.85450346</v>
      </c>
      <c r="I15" s="25">
        <v>37.36720554</v>
      </c>
      <c r="J15" s="26">
        <v>1821.4680186956523</v>
      </c>
    </row>
    <row r="16" spans="1:10">
      <c r="A16" s="23" t="s">
        <v>53</v>
      </c>
      <c r="B16" s="24" t="s">
        <v>54</v>
      </c>
      <c r="C16" s="25" t="s">
        <v>56</v>
      </c>
      <c r="D16" s="25" t="s">
        <v>57</v>
      </c>
      <c r="E16" s="25" t="s">
        <v>1098</v>
      </c>
      <c r="F16" s="25" t="s">
        <v>23</v>
      </c>
      <c r="G16" s="25">
        <v>0.18475750599999999</v>
      </c>
      <c r="H16" s="25">
        <v>2.4018475750000001</v>
      </c>
      <c r="I16" s="25">
        <v>4.8960739029999996</v>
      </c>
      <c r="J16" s="26">
        <v>162.6669344347826</v>
      </c>
    </row>
    <row r="17" spans="1:10">
      <c r="A17" s="23" t="s">
        <v>557</v>
      </c>
      <c r="B17" s="24" t="s">
        <v>558</v>
      </c>
      <c r="C17" s="25" t="s">
        <v>560</v>
      </c>
      <c r="D17" s="25" t="s">
        <v>554</v>
      </c>
      <c r="E17" s="25" t="s">
        <v>1095</v>
      </c>
      <c r="F17" s="25" t="s">
        <v>1054</v>
      </c>
      <c r="G17" s="25">
        <v>4.6189375999999997E-2</v>
      </c>
      <c r="H17" s="25">
        <v>0</v>
      </c>
      <c r="I17" s="25">
        <v>0.13856812900000001</v>
      </c>
      <c r="J17" s="26">
        <v>4.0164675000000001</v>
      </c>
    </row>
    <row r="18" spans="1:10">
      <c r="A18" s="23" t="s">
        <v>1027</v>
      </c>
      <c r="B18" s="24" t="s">
        <v>1028</v>
      </c>
      <c r="C18" s="25" t="s">
        <v>1016</v>
      </c>
      <c r="D18" s="25" t="s">
        <v>599</v>
      </c>
      <c r="E18" s="25" t="s">
        <v>1062</v>
      </c>
      <c r="F18" s="25" t="s">
        <v>1017</v>
      </c>
      <c r="G18" s="25">
        <v>80.369515010000001</v>
      </c>
      <c r="H18" s="25">
        <v>56.258660509999999</v>
      </c>
      <c r="I18" s="25">
        <v>63.879907619999997</v>
      </c>
      <c r="J18" s="26">
        <v>4358.8713726086953</v>
      </c>
    </row>
    <row r="19" spans="1:10">
      <c r="A19" s="23" t="s">
        <v>1014</v>
      </c>
      <c r="B19" s="24" t="s">
        <v>1015</v>
      </c>
      <c r="C19" s="25" t="s">
        <v>1016</v>
      </c>
      <c r="D19" s="25" t="s">
        <v>599</v>
      </c>
      <c r="E19" s="25" t="s">
        <v>1062</v>
      </c>
      <c r="F19" s="25" t="s">
        <v>1017</v>
      </c>
      <c r="G19" s="25">
        <v>93.441108549999996</v>
      </c>
      <c r="H19" s="25">
        <v>95.150115470000003</v>
      </c>
      <c r="I19" s="25">
        <v>96.073903000000001</v>
      </c>
      <c r="J19" s="26">
        <v>6188.3723265217395</v>
      </c>
    </row>
    <row r="20" spans="1:10">
      <c r="A20" s="23" t="s">
        <v>1023</v>
      </c>
      <c r="B20" s="24" t="s">
        <v>1024</v>
      </c>
      <c r="C20" s="25" t="s">
        <v>1016</v>
      </c>
      <c r="D20" s="25" t="s">
        <v>599</v>
      </c>
      <c r="E20" s="25" t="s">
        <v>1096</v>
      </c>
      <c r="F20" s="25" t="s">
        <v>1017</v>
      </c>
      <c r="G20" s="25">
        <v>73.903002310000005</v>
      </c>
      <c r="H20" s="25">
        <v>75.33487298</v>
      </c>
      <c r="I20" s="25">
        <v>76.859122400000004</v>
      </c>
      <c r="J20" s="26">
        <v>4915.1521236956523</v>
      </c>
    </row>
    <row r="21" spans="1:10">
      <c r="A21" s="23" t="s">
        <v>482</v>
      </c>
      <c r="B21" s="24" t="s">
        <v>483</v>
      </c>
      <c r="C21" s="25" t="s">
        <v>479</v>
      </c>
      <c r="D21" s="25" t="s">
        <v>480</v>
      </c>
      <c r="E21" s="25" t="s">
        <v>1098</v>
      </c>
      <c r="F21" s="25" t="s">
        <v>485</v>
      </c>
      <c r="G21" s="25">
        <v>2.124711316</v>
      </c>
      <c r="H21" s="25">
        <v>12.19399538</v>
      </c>
      <c r="I21" s="25">
        <v>30.900692840000001</v>
      </c>
      <c r="J21" s="26">
        <v>983.03042469565219</v>
      </c>
    </row>
    <row r="22" spans="1:10">
      <c r="A22" s="23" t="s">
        <v>487</v>
      </c>
      <c r="B22" s="24" t="s">
        <v>488</v>
      </c>
      <c r="C22" s="25" t="s">
        <v>479</v>
      </c>
      <c r="D22" s="25" t="s">
        <v>480</v>
      </c>
      <c r="E22" s="25" t="s">
        <v>1096</v>
      </c>
      <c r="F22" s="25" t="s">
        <v>485</v>
      </c>
      <c r="G22" s="25">
        <v>87.575057740000005</v>
      </c>
      <c r="H22" s="25">
        <v>94.872979209999997</v>
      </c>
      <c r="I22" s="25">
        <v>97.182448039999997</v>
      </c>
      <c r="J22" s="26">
        <v>6078.9235867391308</v>
      </c>
    </row>
    <row r="23" spans="1:10">
      <c r="A23" s="23" t="s">
        <v>491</v>
      </c>
      <c r="B23" s="24" t="s">
        <v>492</v>
      </c>
      <c r="C23" s="25" t="s">
        <v>479</v>
      </c>
      <c r="D23" s="25" t="s">
        <v>480</v>
      </c>
      <c r="E23" s="25" t="s">
        <v>1062</v>
      </c>
      <c r="F23" s="25" t="s">
        <v>485</v>
      </c>
      <c r="G23" s="25">
        <v>52.378752890000001</v>
      </c>
      <c r="H23" s="25">
        <v>71.454965360000003</v>
      </c>
      <c r="I23" s="25">
        <v>69.838337179999996</v>
      </c>
      <c r="J23" s="26">
        <v>4210.2620745652175</v>
      </c>
    </row>
    <row r="24" spans="1:10">
      <c r="A24" s="23" t="s">
        <v>495</v>
      </c>
      <c r="B24" s="24" t="s">
        <v>496</v>
      </c>
      <c r="C24" s="25" t="s">
        <v>479</v>
      </c>
      <c r="D24" s="25" t="s">
        <v>480</v>
      </c>
      <c r="E24" s="25" t="s">
        <v>1095</v>
      </c>
      <c r="F24" s="25" t="s">
        <v>485</v>
      </c>
      <c r="G24" s="25">
        <v>0.83140877599999996</v>
      </c>
      <c r="H24" s="25">
        <v>1.478060046</v>
      </c>
      <c r="I24" s="25">
        <v>1.478060046</v>
      </c>
      <c r="J24" s="26">
        <v>82.337584086956525</v>
      </c>
    </row>
    <row r="25" spans="1:10">
      <c r="A25" s="23" t="s">
        <v>499</v>
      </c>
      <c r="B25" s="24" t="s">
        <v>500</v>
      </c>
      <c r="C25" s="25" t="s">
        <v>502</v>
      </c>
      <c r="D25" s="25" t="s">
        <v>503</v>
      </c>
      <c r="E25" s="25" t="s">
        <v>1095</v>
      </c>
      <c r="F25" s="25" t="s">
        <v>504</v>
      </c>
      <c r="G25" s="25">
        <v>77.875288679999997</v>
      </c>
      <c r="H25" s="25">
        <v>84.942263280000006</v>
      </c>
      <c r="I25" s="25">
        <v>84.064665129999995</v>
      </c>
      <c r="J25" s="26">
        <v>5367.0047193478258</v>
      </c>
    </row>
    <row r="26" spans="1:10">
      <c r="A26" s="23" t="s">
        <v>150</v>
      </c>
      <c r="B26" s="24" t="s">
        <v>151</v>
      </c>
      <c r="C26" s="25" t="s">
        <v>94</v>
      </c>
      <c r="D26" s="25" t="s">
        <v>95</v>
      </c>
      <c r="E26" s="25" t="s">
        <v>1098</v>
      </c>
      <c r="F26" s="25" t="s">
        <v>129</v>
      </c>
      <c r="G26" s="25">
        <v>3.6951501150000001</v>
      </c>
      <c r="H26" s="25">
        <v>2.6789838339999998</v>
      </c>
      <c r="I26" s="25">
        <v>0.969976905</v>
      </c>
      <c r="J26" s="26">
        <v>159.65458378260871</v>
      </c>
    </row>
    <row r="27" spans="1:10">
      <c r="A27" s="23" t="s">
        <v>143</v>
      </c>
      <c r="B27" s="24" t="s">
        <v>144</v>
      </c>
      <c r="C27" s="25" t="s">
        <v>94</v>
      </c>
      <c r="D27" s="25" t="s">
        <v>95</v>
      </c>
      <c r="E27" s="25" t="s">
        <v>1098</v>
      </c>
      <c r="F27" s="25" t="s">
        <v>129</v>
      </c>
      <c r="G27" s="25">
        <v>9.9307159350000003</v>
      </c>
      <c r="H27" s="25">
        <v>8.8221709009999998</v>
      </c>
      <c r="I27" s="25">
        <v>2.8175519630000001</v>
      </c>
      <c r="J27" s="26">
        <v>468.92258258695654</v>
      </c>
    </row>
    <row r="28" spans="1:10">
      <c r="A28" s="23" t="s">
        <v>147</v>
      </c>
      <c r="B28" s="24" t="s">
        <v>148</v>
      </c>
      <c r="C28" s="25" t="s">
        <v>94</v>
      </c>
      <c r="D28" s="25" t="s">
        <v>95</v>
      </c>
      <c r="E28" s="25" t="s">
        <v>1096</v>
      </c>
      <c r="F28" s="25" t="s">
        <v>129</v>
      </c>
      <c r="G28" s="25">
        <v>65.63510393</v>
      </c>
      <c r="H28" s="25">
        <v>86.189376440000004</v>
      </c>
      <c r="I28" s="25">
        <v>75.150115470000003</v>
      </c>
      <c r="J28" s="26">
        <v>4934.2303443478268</v>
      </c>
    </row>
    <row r="29" spans="1:10">
      <c r="A29" s="23" t="s">
        <v>140</v>
      </c>
      <c r="B29" s="24" t="s">
        <v>141</v>
      </c>
      <c r="C29" s="25" t="s">
        <v>94</v>
      </c>
      <c r="D29" s="25" t="s">
        <v>95</v>
      </c>
      <c r="E29" s="25" t="s">
        <v>1098</v>
      </c>
      <c r="F29" s="25" t="s">
        <v>129</v>
      </c>
      <c r="G29" s="25">
        <v>0.78521940000000001</v>
      </c>
      <c r="H29" s="25">
        <v>4.3879907620000003</v>
      </c>
      <c r="I29" s="25">
        <v>8.4526558890000008</v>
      </c>
      <c r="J29" s="26">
        <v>296.21447936956525</v>
      </c>
    </row>
    <row r="30" spans="1:10">
      <c r="A30" s="23" t="s">
        <v>161</v>
      </c>
      <c r="B30" s="24" t="s">
        <v>162</v>
      </c>
      <c r="C30" s="25" t="s">
        <v>94</v>
      </c>
      <c r="D30" s="25" t="s">
        <v>95</v>
      </c>
      <c r="E30" s="25" t="s">
        <v>1098</v>
      </c>
      <c r="F30" s="25" t="s">
        <v>129</v>
      </c>
      <c r="G30" s="25">
        <v>0.13856812900000001</v>
      </c>
      <c r="H30" s="25">
        <v>0</v>
      </c>
      <c r="I30" s="25">
        <v>0.13856812900000001</v>
      </c>
      <c r="J30" s="26">
        <v>6.0247012608695663</v>
      </c>
    </row>
    <row r="31" spans="1:10">
      <c r="A31" s="23" t="s">
        <v>157</v>
      </c>
      <c r="B31" s="24" t="s">
        <v>158</v>
      </c>
      <c r="C31" s="25" t="s">
        <v>94</v>
      </c>
      <c r="D31" s="25" t="s">
        <v>95</v>
      </c>
      <c r="E31" s="25" t="s">
        <v>1098</v>
      </c>
      <c r="F31" s="25" t="s">
        <v>129</v>
      </c>
      <c r="G31" s="25">
        <v>8.8221709009999998</v>
      </c>
      <c r="H31" s="25">
        <v>11.59353349</v>
      </c>
      <c r="I31" s="25">
        <v>8.5912240180000001</v>
      </c>
      <c r="J31" s="26">
        <v>630.58540019565214</v>
      </c>
    </row>
    <row r="32" spans="1:10">
      <c r="A32" s="23" t="s">
        <v>154</v>
      </c>
      <c r="B32" s="24" t="s">
        <v>155</v>
      </c>
      <c r="C32" s="25" t="s">
        <v>94</v>
      </c>
      <c r="D32" s="25" t="s">
        <v>95</v>
      </c>
      <c r="E32" s="25" t="s">
        <v>1095</v>
      </c>
      <c r="F32" s="25" t="s">
        <v>129</v>
      </c>
      <c r="G32" s="25">
        <v>5.2655889150000004</v>
      </c>
      <c r="H32" s="25">
        <v>5.0346420319999998</v>
      </c>
      <c r="I32" s="25">
        <v>4.0646651269999996</v>
      </c>
      <c r="J32" s="26">
        <v>312.28034943478258</v>
      </c>
    </row>
    <row r="33" spans="1:10">
      <c r="A33" s="23" t="s">
        <v>122</v>
      </c>
      <c r="B33" s="24" t="s">
        <v>123</v>
      </c>
      <c r="C33" s="25" t="s">
        <v>94</v>
      </c>
      <c r="D33" s="25" t="s">
        <v>95</v>
      </c>
      <c r="E33" s="25" t="s">
        <v>1102</v>
      </c>
      <c r="F33" s="25" t="s">
        <v>129</v>
      </c>
      <c r="G33" s="25">
        <v>0</v>
      </c>
      <c r="H33" s="25">
        <v>4.6189375999999997E-2</v>
      </c>
      <c r="I33" s="25">
        <v>0</v>
      </c>
      <c r="J33" s="26">
        <v>1.0041168695652174</v>
      </c>
    </row>
    <row r="34" spans="1:10">
      <c r="A34" s="23" t="s">
        <v>126</v>
      </c>
      <c r="B34" s="24" t="s">
        <v>127</v>
      </c>
      <c r="C34" s="25" t="s">
        <v>94</v>
      </c>
      <c r="D34" s="25" t="s">
        <v>95</v>
      </c>
      <c r="E34" s="25" t="s">
        <v>1098</v>
      </c>
      <c r="F34" s="25" t="s">
        <v>129</v>
      </c>
      <c r="G34" s="25">
        <v>44.203233259999998</v>
      </c>
      <c r="H34" s="25">
        <v>56.443418010000002</v>
      </c>
      <c r="I34" s="25">
        <v>40.046189380000001</v>
      </c>
      <c r="J34" s="26">
        <v>3058.5400141304349</v>
      </c>
    </row>
    <row r="35" spans="1:10">
      <c r="A35" s="23" t="s">
        <v>661</v>
      </c>
      <c r="B35" s="24" t="s">
        <v>662</v>
      </c>
      <c r="C35" s="25" t="s">
        <v>664</v>
      </c>
      <c r="D35" s="25" t="s">
        <v>599</v>
      </c>
      <c r="E35" s="25" t="s">
        <v>1098</v>
      </c>
      <c r="F35" s="25" t="s">
        <v>1056</v>
      </c>
      <c r="G35" s="25">
        <v>0.55427251700000002</v>
      </c>
      <c r="H35" s="25">
        <v>0.64665127</v>
      </c>
      <c r="I35" s="25">
        <v>0.46189376399999998</v>
      </c>
      <c r="J35" s="26">
        <v>36.148207630434783</v>
      </c>
    </row>
    <row r="36" spans="1:10">
      <c r="A36" s="23" t="s">
        <v>234</v>
      </c>
      <c r="B36" s="24" t="s">
        <v>235</v>
      </c>
      <c r="C36" s="25" t="s">
        <v>205</v>
      </c>
      <c r="D36" s="25" t="s">
        <v>206</v>
      </c>
      <c r="E36" s="25" t="s">
        <v>1096</v>
      </c>
      <c r="F36" s="25" t="s">
        <v>207</v>
      </c>
      <c r="G36" s="25">
        <v>29.00692841</v>
      </c>
      <c r="H36" s="25">
        <v>54.872979209999997</v>
      </c>
      <c r="I36" s="25">
        <v>34.688221710000001</v>
      </c>
      <c r="J36" s="26">
        <v>2577.5680289130437</v>
      </c>
    </row>
    <row r="37" spans="1:10">
      <c r="A37" s="23" t="s">
        <v>242</v>
      </c>
      <c r="B37" s="24" t="s">
        <v>243</v>
      </c>
      <c r="C37" s="25" t="s">
        <v>205</v>
      </c>
      <c r="D37" s="25" t="s">
        <v>206</v>
      </c>
      <c r="E37" s="25" t="s">
        <v>1062</v>
      </c>
      <c r="F37" s="25" t="s">
        <v>207</v>
      </c>
      <c r="G37" s="25">
        <v>0</v>
      </c>
      <c r="H37" s="25">
        <v>0</v>
      </c>
      <c r="I37" s="25">
        <v>0.23094688199999999</v>
      </c>
      <c r="J37" s="26">
        <v>5.0205843913043475</v>
      </c>
    </row>
    <row r="38" spans="1:10">
      <c r="A38" s="23" t="s">
        <v>230</v>
      </c>
      <c r="B38" s="24" t="s">
        <v>231</v>
      </c>
      <c r="C38" s="25" t="s">
        <v>205</v>
      </c>
      <c r="D38" s="25" t="s">
        <v>206</v>
      </c>
      <c r="E38" s="25" t="s">
        <v>1062</v>
      </c>
      <c r="F38" s="25" t="s">
        <v>207</v>
      </c>
      <c r="G38" s="25">
        <v>9.5612009239999995</v>
      </c>
      <c r="H38" s="25">
        <v>28.360277140000001</v>
      </c>
      <c r="I38" s="25">
        <v>20.230946880000001</v>
      </c>
      <c r="J38" s="26">
        <v>1264.1831509565218</v>
      </c>
    </row>
    <row r="39" spans="1:10">
      <c r="A39" s="23" t="s">
        <v>238</v>
      </c>
      <c r="B39" s="24" t="s">
        <v>239</v>
      </c>
      <c r="C39" s="25" t="s">
        <v>205</v>
      </c>
      <c r="D39" s="25" t="s">
        <v>206</v>
      </c>
      <c r="E39" s="25" t="s">
        <v>1096</v>
      </c>
      <c r="F39" s="25" t="s">
        <v>207</v>
      </c>
      <c r="G39" s="25">
        <v>40.739030020000001</v>
      </c>
      <c r="H39" s="25">
        <v>71.177829099999997</v>
      </c>
      <c r="I39" s="25">
        <v>75.150115470000003</v>
      </c>
      <c r="J39" s="26">
        <v>4066.6733606521739</v>
      </c>
    </row>
    <row r="40" spans="1:10">
      <c r="A40" s="23" t="s">
        <v>217</v>
      </c>
      <c r="B40" s="24" t="s">
        <v>218</v>
      </c>
      <c r="C40" s="25" t="s">
        <v>205</v>
      </c>
      <c r="D40" s="25" t="s">
        <v>206</v>
      </c>
      <c r="E40" s="25" t="s">
        <v>1097</v>
      </c>
      <c r="F40" s="25" t="s">
        <v>207</v>
      </c>
      <c r="G40" s="25">
        <v>4.3879907620000003</v>
      </c>
      <c r="H40" s="25">
        <v>19.214780600000001</v>
      </c>
      <c r="I40" s="25">
        <v>31.454965359999999</v>
      </c>
      <c r="J40" s="26">
        <v>1196.9073200434784</v>
      </c>
    </row>
    <row r="41" spans="1:10">
      <c r="A41" s="23" t="s">
        <v>221</v>
      </c>
      <c r="B41" s="24" t="s">
        <v>222</v>
      </c>
      <c r="C41" s="25" t="s">
        <v>205</v>
      </c>
      <c r="D41" s="25" t="s">
        <v>206</v>
      </c>
      <c r="E41" s="25" t="s">
        <v>1098</v>
      </c>
      <c r="F41" s="25" t="s">
        <v>207</v>
      </c>
      <c r="G41" s="25">
        <v>0</v>
      </c>
      <c r="H41" s="25">
        <v>0.323325635</v>
      </c>
      <c r="I41" s="25">
        <v>0</v>
      </c>
      <c r="J41" s="26">
        <v>7.0288181521739128</v>
      </c>
    </row>
    <row r="42" spans="1:10">
      <c r="A42" s="23" t="s">
        <v>225</v>
      </c>
      <c r="B42" s="24" t="s">
        <v>226</v>
      </c>
      <c r="C42" s="25" t="s">
        <v>205</v>
      </c>
      <c r="D42" s="25" t="s">
        <v>206</v>
      </c>
      <c r="E42" s="25" t="s">
        <v>1095</v>
      </c>
      <c r="F42" s="25" t="s">
        <v>207</v>
      </c>
      <c r="G42" s="25">
        <v>1.5242494230000001</v>
      </c>
      <c r="H42" s="25">
        <v>1.5704387989999999</v>
      </c>
      <c r="I42" s="25">
        <v>1.5704387989999999</v>
      </c>
      <c r="J42" s="26">
        <v>101.41580480434783</v>
      </c>
    </row>
    <row r="43" spans="1:10">
      <c r="A43" s="23" t="s">
        <v>213</v>
      </c>
      <c r="B43" s="24" t="s">
        <v>214</v>
      </c>
      <c r="C43" s="25" t="s">
        <v>205</v>
      </c>
      <c r="D43" s="25" t="s">
        <v>206</v>
      </c>
      <c r="E43" s="25" t="s">
        <v>1096</v>
      </c>
      <c r="F43" s="25" t="s">
        <v>207</v>
      </c>
      <c r="G43" s="25">
        <v>0</v>
      </c>
      <c r="H43" s="25">
        <v>0.13856812900000001</v>
      </c>
      <c r="I43" s="25">
        <v>5.127020785</v>
      </c>
      <c r="J43" s="26">
        <v>114.46932421739132</v>
      </c>
    </row>
    <row r="44" spans="1:10">
      <c r="A44" s="23" t="s">
        <v>209</v>
      </c>
      <c r="B44" s="24" t="s">
        <v>210</v>
      </c>
      <c r="C44" s="25" t="s">
        <v>205</v>
      </c>
      <c r="D44" s="25" t="s">
        <v>206</v>
      </c>
      <c r="E44" s="25" t="s">
        <v>1096</v>
      </c>
      <c r="F44" s="25" t="s">
        <v>207</v>
      </c>
      <c r="G44" s="25">
        <v>0.13856812900000001</v>
      </c>
      <c r="H44" s="25">
        <v>1.9399538110000001</v>
      </c>
      <c r="I44" s="25">
        <v>12.65588915</v>
      </c>
      <c r="J44" s="26">
        <v>320.31328456521737</v>
      </c>
    </row>
    <row r="45" spans="1:10">
      <c r="A45" s="23" t="s">
        <v>246</v>
      </c>
      <c r="B45" s="24" t="s">
        <v>247</v>
      </c>
      <c r="C45" s="25" t="s">
        <v>249</v>
      </c>
      <c r="D45" s="25" t="s">
        <v>206</v>
      </c>
      <c r="E45" s="25" t="s">
        <v>1095</v>
      </c>
      <c r="F45" s="25" t="s">
        <v>207</v>
      </c>
      <c r="G45" s="25">
        <v>0</v>
      </c>
      <c r="H45" s="25">
        <v>4.6189375999999997E-2</v>
      </c>
      <c r="I45" s="25">
        <v>0.277136259</v>
      </c>
      <c r="J45" s="26">
        <v>7.0288181521739128</v>
      </c>
    </row>
    <row r="46" spans="1:10">
      <c r="A46" s="23" t="s">
        <v>202</v>
      </c>
      <c r="B46" s="24" t="s">
        <v>203</v>
      </c>
      <c r="C46" s="25" t="s">
        <v>205</v>
      </c>
      <c r="D46" s="25" t="s">
        <v>206</v>
      </c>
      <c r="E46" s="25" t="s">
        <v>1095</v>
      </c>
      <c r="F46" s="25" t="s">
        <v>207</v>
      </c>
      <c r="G46" s="25">
        <v>8.1755196300000001</v>
      </c>
      <c r="H46" s="25">
        <v>12.65588915</v>
      </c>
      <c r="I46" s="25">
        <v>14.457274829999999</v>
      </c>
      <c r="J46" s="26">
        <v>767.14529586956519</v>
      </c>
    </row>
    <row r="47" spans="1:10">
      <c r="A47" s="23" t="s">
        <v>261</v>
      </c>
      <c r="B47" s="24" t="s">
        <v>262</v>
      </c>
      <c r="C47" s="25" t="s">
        <v>254</v>
      </c>
      <c r="D47" s="25" t="s">
        <v>255</v>
      </c>
      <c r="E47" s="25" t="s">
        <v>1096</v>
      </c>
      <c r="F47" s="25" t="s">
        <v>207</v>
      </c>
      <c r="G47" s="25">
        <v>4.6189375999999997E-2</v>
      </c>
      <c r="H47" s="25">
        <v>0</v>
      </c>
      <c r="I47" s="25">
        <v>0.64665127</v>
      </c>
      <c r="J47" s="26">
        <v>15.061753173913043</v>
      </c>
    </row>
    <row r="48" spans="1:10">
      <c r="A48" s="23" t="s">
        <v>257</v>
      </c>
      <c r="B48" s="24" t="s">
        <v>258</v>
      </c>
      <c r="C48" s="25" t="s">
        <v>254</v>
      </c>
      <c r="D48" s="25" t="s">
        <v>255</v>
      </c>
      <c r="E48" s="25" t="s">
        <v>1095</v>
      </c>
      <c r="F48" s="25" t="s">
        <v>207</v>
      </c>
      <c r="G48" s="25">
        <v>0.36951501199999998</v>
      </c>
      <c r="H48" s="25">
        <v>0.18475750599999999</v>
      </c>
      <c r="I48" s="25">
        <v>1.2009237880000001</v>
      </c>
      <c r="J48" s="26">
        <v>38.156441434782614</v>
      </c>
    </row>
    <row r="49" spans="1:10">
      <c r="A49" s="23" t="s">
        <v>251</v>
      </c>
      <c r="B49" s="24" t="s">
        <v>252</v>
      </c>
      <c r="C49" s="25" t="s">
        <v>254</v>
      </c>
      <c r="D49" s="25" t="s">
        <v>255</v>
      </c>
      <c r="E49" s="25" t="s">
        <v>1096</v>
      </c>
      <c r="F49" s="25" t="s">
        <v>207</v>
      </c>
      <c r="G49" s="25">
        <v>35.427251730000002</v>
      </c>
      <c r="H49" s="25">
        <v>58.106235570000003</v>
      </c>
      <c r="I49" s="25">
        <v>51.732101620000002</v>
      </c>
      <c r="J49" s="26">
        <v>3157.9475852173914</v>
      </c>
    </row>
    <row r="50" spans="1:10">
      <c r="A50" s="23" t="s">
        <v>175</v>
      </c>
      <c r="B50" s="24" t="s">
        <v>176</v>
      </c>
      <c r="C50" s="25" t="s">
        <v>94</v>
      </c>
      <c r="D50" s="25" t="s">
        <v>95</v>
      </c>
      <c r="E50" s="25" t="s">
        <v>1102</v>
      </c>
      <c r="F50" s="25" t="s">
        <v>1032</v>
      </c>
      <c r="G50" s="25">
        <v>0</v>
      </c>
      <c r="H50" s="25">
        <v>0</v>
      </c>
      <c r="I50" s="25">
        <v>0</v>
      </c>
      <c r="J50" s="26">
        <v>0</v>
      </c>
    </row>
    <row r="51" spans="1:10">
      <c r="A51" s="23" t="s">
        <v>183</v>
      </c>
      <c r="B51" s="24" t="s">
        <v>184</v>
      </c>
      <c r="C51" s="25" t="s">
        <v>94</v>
      </c>
      <c r="D51" s="25" t="s">
        <v>95</v>
      </c>
      <c r="E51" s="25" t="s">
        <v>1102</v>
      </c>
      <c r="F51" s="25" t="s">
        <v>1032</v>
      </c>
      <c r="G51" s="25">
        <v>0</v>
      </c>
      <c r="H51" s="25">
        <v>0</v>
      </c>
      <c r="I51" s="25">
        <v>0</v>
      </c>
      <c r="J51" s="26">
        <v>0</v>
      </c>
    </row>
    <row r="52" spans="1:10">
      <c r="A52" s="23" t="s">
        <v>191</v>
      </c>
      <c r="B52" s="24" t="s">
        <v>192</v>
      </c>
      <c r="C52" s="25" t="s">
        <v>94</v>
      </c>
      <c r="D52" s="25" t="s">
        <v>95</v>
      </c>
      <c r="E52" s="25" t="s">
        <v>1102</v>
      </c>
      <c r="F52" s="25" t="s">
        <v>1032</v>
      </c>
      <c r="G52" s="25">
        <v>0</v>
      </c>
      <c r="H52" s="25">
        <v>0</v>
      </c>
      <c r="I52" s="25">
        <v>0</v>
      </c>
      <c r="J52" s="26">
        <v>0</v>
      </c>
    </row>
    <row r="53" spans="1:10">
      <c r="A53" s="23" t="s">
        <v>166</v>
      </c>
      <c r="B53" s="24" t="s">
        <v>167</v>
      </c>
      <c r="C53" s="25" t="s">
        <v>94</v>
      </c>
      <c r="D53" s="25" t="s">
        <v>95</v>
      </c>
      <c r="E53" s="25" t="s">
        <v>1098</v>
      </c>
      <c r="F53" s="25" t="s">
        <v>169</v>
      </c>
      <c r="G53" s="25">
        <v>6.6512702079999997</v>
      </c>
      <c r="H53" s="25">
        <v>10.484988449999999</v>
      </c>
      <c r="I53" s="25">
        <v>7.2517321020000001</v>
      </c>
      <c r="J53" s="26">
        <v>530.17371217391303</v>
      </c>
    </row>
    <row r="54" spans="1:10">
      <c r="A54" s="23" t="s">
        <v>171</v>
      </c>
      <c r="B54" s="24" t="s">
        <v>172</v>
      </c>
      <c r="C54" s="25" t="s">
        <v>94</v>
      </c>
      <c r="D54" s="25" t="s">
        <v>95</v>
      </c>
      <c r="E54" s="25" t="s">
        <v>1098</v>
      </c>
      <c r="F54" s="25" t="s">
        <v>169</v>
      </c>
      <c r="G54" s="25">
        <v>5.7736720549999996</v>
      </c>
      <c r="H54" s="25">
        <v>17.136258659999999</v>
      </c>
      <c r="I54" s="25">
        <v>15.288683600000001</v>
      </c>
      <c r="J54" s="26">
        <v>830.40465902173912</v>
      </c>
    </row>
    <row r="55" spans="1:10">
      <c r="A55" s="23" t="s">
        <v>187</v>
      </c>
      <c r="B55" s="24" t="s">
        <v>188</v>
      </c>
      <c r="C55" s="25" t="s">
        <v>94</v>
      </c>
      <c r="D55" s="25" t="s">
        <v>95</v>
      </c>
      <c r="E55" s="25" t="s">
        <v>1062</v>
      </c>
      <c r="F55" s="25" t="s">
        <v>169</v>
      </c>
      <c r="G55" s="25">
        <v>4.6189375999999997E-2</v>
      </c>
      <c r="H55" s="25">
        <v>0.92378752900000005</v>
      </c>
      <c r="I55" s="25">
        <v>2.2632794459999999</v>
      </c>
      <c r="J55" s="26">
        <v>70.28818154347826</v>
      </c>
    </row>
    <row r="56" spans="1:10">
      <c r="A56" s="23" t="s">
        <v>179</v>
      </c>
      <c r="B56" s="24" t="s">
        <v>180</v>
      </c>
      <c r="C56" s="25" t="s">
        <v>94</v>
      </c>
      <c r="D56" s="25" t="s">
        <v>95</v>
      </c>
      <c r="E56" s="25" t="s">
        <v>1098</v>
      </c>
      <c r="F56" s="25" t="s">
        <v>169</v>
      </c>
      <c r="G56" s="25">
        <v>5.4041570439999997</v>
      </c>
      <c r="H56" s="25">
        <v>8.5912240180000001</v>
      </c>
      <c r="I56" s="25">
        <v>7.2055427249999999</v>
      </c>
      <c r="J56" s="26">
        <v>460.8896475434783</v>
      </c>
    </row>
    <row r="57" spans="1:10">
      <c r="A57" s="23" t="s">
        <v>832</v>
      </c>
      <c r="B57" s="24" t="s">
        <v>833</v>
      </c>
      <c r="C57" s="25" t="s">
        <v>679</v>
      </c>
      <c r="D57" s="25" t="s">
        <v>599</v>
      </c>
      <c r="E57" s="25" t="s">
        <v>1102</v>
      </c>
      <c r="F57" s="25" t="s">
        <v>826</v>
      </c>
      <c r="G57" s="25">
        <v>0</v>
      </c>
      <c r="H57" s="25">
        <v>4.6189375999999997E-2</v>
      </c>
      <c r="I57" s="25">
        <v>0</v>
      </c>
      <c r="J57" s="26">
        <v>1.0041168695652174</v>
      </c>
    </row>
    <row r="58" spans="1:10">
      <c r="A58" s="23" t="s">
        <v>836</v>
      </c>
      <c r="B58" s="24" t="s">
        <v>837</v>
      </c>
      <c r="C58" s="25" t="s">
        <v>679</v>
      </c>
      <c r="D58" s="25" t="s">
        <v>599</v>
      </c>
      <c r="E58" s="25" t="s">
        <v>1095</v>
      </c>
      <c r="F58" s="25" t="s">
        <v>826</v>
      </c>
      <c r="G58" s="25">
        <v>23.879907620000001</v>
      </c>
      <c r="H58" s="25">
        <v>31.870669750000001</v>
      </c>
      <c r="I58" s="25">
        <v>14.08775982</v>
      </c>
      <c r="J58" s="26">
        <v>1518.2247215217392</v>
      </c>
    </row>
    <row r="59" spans="1:10">
      <c r="A59" s="23" t="s">
        <v>828</v>
      </c>
      <c r="B59" s="24" t="s">
        <v>829</v>
      </c>
      <c r="C59" s="25" t="s">
        <v>679</v>
      </c>
      <c r="D59" s="25" t="s">
        <v>599</v>
      </c>
      <c r="E59" s="25" t="s">
        <v>1095</v>
      </c>
      <c r="F59" s="25" t="s">
        <v>826</v>
      </c>
      <c r="G59" s="25">
        <v>0.36951501199999998</v>
      </c>
      <c r="H59" s="25">
        <v>0.60046189400000005</v>
      </c>
      <c r="I59" s="25">
        <v>0.60046189400000005</v>
      </c>
      <c r="J59" s="26">
        <v>34.139973913043484</v>
      </c>
    </row>
    <row r="60" spans="1:10">
      <c r="A60" s="23" t="s">
        <v>823</v>
      </c>
      <c r="B60" s="24" t="s">
        <v>824</v>
      </c>
      <c r="C60" s="25" t="s">
        <v>679</v>
      </c>
      <c r="D60" s="25" t="s">
        <v>599</v>
      </c>
      <c r="E60" s="25" t="s">
        <v>1095</v>
      </c>
      <c r="F60" s="25" t="s">
        <v>826</v>
      </c>
      <c r="G60" s="25">
        <v>31.916859120000002</v>
      </c>
      <c r="H60" s="25">
        <v>48.775981520000002</v>
      </c>
      <c r="I60" s="25">
        <v>48.591224019999999</v>
      </c>
      <c r="J60" s="26">
        <v>2810.5231447826091</v>
      </c>
    </row>
    <row r="61" spans="1:10">
      <c r="A61" s="23" t="s">
        <v>785</v>
      </c>
      <c r="B61" s="24" t="s">
        <v>786</v>
      </c>
      <c r="C61" s="25" t="s">
        <v>779</v>
      </c>
      <c r="D61" s="25" t="s">
        <v>599</v>
      </c>
      <c r="E61" s="25" t="s">
        <v>1095</v>
      </c>
      <c r="F61" s="25" t="s">
        <v>774</v>
      </c>
      <c r="G61" s="25">
        <v>87.390300229999994</v>
      </c>
      <c r="H61" s="25">
        <v>94.549653579999998</v>
      </c>
      <c r="I61" s="25">
        <v>98.521939950000004</v>
      </c>
      <c r="J61" s="26">
        <v>6096.9976904347832</v>
      </c>
    </row>
    <row r="62" spans="1:10">
      <c r="A62" s="23" t="s">
        <v>781</v>
      </c>
      <c r="B62" s="24" t="s">
        <v>782</v>
      </c>
      <c r="C62" s="25" t="s">
        <v>779</v>
      </c>
      <c r="D62" s="25" t="s">
        <v>599</v>
      </c>
      <c r="E62" s="25" t="s">
        <v>1095</v>
      </c>
      <c r="F62" s="25" t="s">
        <v>774</v>
      </c>
      <c r="G62" s="25">
        <v>77.644341800000007</v>
      </c>
      <c r="H62" s="25">
        <v>83.833718239999996</v>
      </c>
      <c r="I62" s="25">
        <v>92.101616629999995</v>
      </c>
      <c r="J62" s="26">
        <v>5512.6016667391305</v>
      </c>
    </row>
    <row r="63" spans="1:10">
      <c r="A63" s="23" t="s">
        <v>776</v>
      </c>
      <c r="B63" s="24" t="s">
        <v>777</v>
      </c>
      <c r="C63" s="25" t="s">
        <v>779</v>
      </c>
      <c r="D63" s="25" t="s">
        <v>599</v>
      </c>
      <c r="E63" s="25" t="s">
        <v>1095</v>
      </c>
      <c r="F63" s="25" t="s">
        <v>774</v>
      </c>
      <c r="G63" s="25">
        <v>0.92378752900000005</v>
      </c>
      <c r="H63" s="25">
        <v>0.13856812900000001</v>
      </c>
      <c r="I63" s="25">
        <v>0</v>
      </c>
      <c r="J63" s="26">
        <v>23.094688217391305</v>
      </c>
    </row>
    <row r="64" spans="1:10">
      <c r="A64" s="23" t="s">
        <v>959</v>
      </c>
      <c r="B64" s="24" t="s">
        <v>960</v>
      </c>
      <c r="C64" s="25" t="s">
        <v>962</v>
      </c>
      <c r="D64" s="25" t="s">
        <v>599</v>
      </c>
      <c r="E64" s="25" t="s">
        <v>1096</v>
      </c>
      <c r="F64" s="25" t="s">
        <v>774</v>
      </c>
      <c r="G64" s="25">
        <v>91.916859119999998</v>
      </c>
      <c r="H64" s="25">
        <v>96.720554269999994</v>
      </c>
      <c r="I64" s="25">
        <v>97.090069279999994</v>
      </c>
      <c r="J64" s="26">
        <v>6211.4670145652171</v>
      </c>
    </row>
    <row r="65" spans="1:10">
      <c r="A65" s="23" t="s">
        <v>964</v>
      </c>
      <c r="B65" s="24" t="s">
        <v>965</v>
      </c>
      <c r="C65" s="25" t="s">
        <v>962</v>
      </c>
      <c r="D65" s="25" t="s">
        <v>599</v>
      </c>
      <c r="E65" s="25" t="s">
        <v>1098</v>
      </c>
      <c r="F65" s="25" t="s">
        <v>774</v>
      </c>
      <c r="G65" s="25">
        <v>0.87759815200000002</v>
      </c>
      <c r="H65" s="25">
        <v>0.18475750599999999</v>
      </c>
      <c r="I65" s="25">
        <v>0</v>
      </c>
      <c r="J65" s="26">
        <v>23.094688217391305</v>
      </c>
    </row>
    <row r="66" spans="1:10">
      <c r="A66" s="23" t="s">
        <v>771</v>
      </c>
      <c r="B66" s="24" t="s">
        <v>772</v>
      </c>
      <c r="C66" s="25" t="s">
        <v>753</v>
      </c>
      <c r="D66" s="25" t="s">
        <v>599</v>
      </c>
      <c r="E66" s="25" t="s">
        <v>1095</v>
      </c>
      <c r="F66" s="25" t="s">
        <v>774</v>
      </c>
      <c r="G66" s="25">
        <v>76.027713629999994</v>
      </c>
      <c r="H66" s="25">
        <v>75.981524250000007</v>
      </c>
      <c r="I66" s="25">
        <v>78.891454969999998</v>
      </c>
      <c r="J66" s="26">
        <v>5019.580279347826</v>
      </c>
    </row>
    <row r="67" spans="1:10">
      <c r="A67" s="23" t="s">
        <v>806</v>
      </c>
      <c r="B67" s="24" t="s">
        <v>807</v>
      </c>
      <c r="C67" s="25" t="s">
        <v>800</v>
      </c>
      <c r="D67" s="25" t="s">
        <v>599</v>
      </c>
      <c r="E67" s="25" t="s">
        <v>1098</v>
      </c>
      <c r="F67" s="25" t="s">
        <v>774</v>
      </c>
      <c r="G67" s="25">
        <v>52.933025399999998</v>
      </c>
      <c r="H67" s="25">
        <v>85.542725169999997</v>
      </c>
      <c r="I67" s="25">
        <v>97.505773669999996</v>
      </c>
      <c r="J67" s="26">
        <v>5130.0331356521738</v>
      </c>
    </row>
    <row r="68" spans="1:10">
      <c r="A68" s="23" t="s">
        <v>802</v>
      </c>
      <c r="B68" s="24" t="s">
        <v>803</v>
      </c>
      <c r="C68" s="25" t="s">
        <v>800</v>
      </c>
      <c r="D68" s="25" t="s">
        <v>599</v>
      </c>
      <c r="E68" s="25" t="s">
        <v>1095</v>
      </c>
      <c r="F68" s="25" t="s">
        <v>774</v>
      </c>
      <c r="G68" s="25">
        <v>36.212471129999997</v>
      </c>
      <c r="H68" s="25">
        <v>31.224018480000002</v>
      </c>
      <c r="I68" s="25">
        <v>31.593533489999999</v>
      </c>
      <c r="J68" s="26">
        <v>2152.8265891304345</v>
      </c>
    </row>
    <row r="69" spans="1:10">
      <c r="A69" s="23" t="s">
        <v>797</v>
      </c>
      <c r="B69" s="24" t="s">
        <v>798</v>
      </c>
      <c r="C69" s="25" t="s">
        <v>800</v>
      </c>
      <c r="D69" s="25" t="s">
        <v>599</v>
      </c>
      <c r="E69" s="25" t="s">
        <v>1095</v>
      </c>
      <c r="F69" s="25" t="s">
        <v>774</v>
      </c>
      <c r="G69" s="25">
        <v>0</v>
      </c>
      <c r="H69" s="25">
        <v>0.36951501199999998</v>
      </c>
      <c r="I69" s="25">
        <v>0.41570438799999998</v>
      </c>
      <c r="J69" s="26">
        <v>17.069986956521738</v>
      </c>
    </row>
    <row r="70" spans="1:10">
      <c r="A70" s="23" t="s">
        <v>810</v>
      </c>
      <c r="B70" s="24" t="s">
        <v>811</v>
      </c>
      <c r="C70" s="25" t="s">
        <v>800</v>
      </c>
      <c r="D70" s="25" t="s">
        <v>599</v>
      </c>
      <c r="E70" s="25" t="s">
        <v>1095</v>
      </c>
      <c r="F70" s="25" t="s">
        <v>774</v>
      </c>
      <c r="G70" s="25">
        <v>88.360277139999994</v>
      </c>
      <c r="H70" s="25">
        <v>93.348729789999993</v>
      </c>
      <c r="I70" s="25">
        <v>92.794457269999995</v>
      </c>
      <c r="J70" s="26">
        <v>5967.466613043478</v>
      </c>
    </row>
    <row r="71" spans="1:10">
      <c r="A71" s="23" t="s">
        <v>793</v>
      </c>
      <c r="B71" s="24" t="s">
        <v>794</v>
      </c>
      <c r="C71" s="25" t="s">
        <v>779</v>
      </c>
      <c r="D71" s="25" t="s">
        <v>599</v>
      </c>
      <c r="E71" s="25" t="s">
        <v>1098</v>
      </c>
      <c r="F71" s="25" t="s">
        <v>774</v>
      </c>
      <c r="G71" s="25">
        <v>72.240184760000005</v>
      </c>
      <c r="H71" s="25">
        <v>86.882217089999997</v>
      </c>
      <c r="I71" s="25">
        <v>95.842956119999997</v>
      </c>
      <c r="J71" s="26">
        <v>5542.7251732608702</v>
      </c>
    </row>
    <row r="72" spans="1:10">
      <c r="A72" s="23" t="s">
        <v>789</v>
      </c>
      <c r="B72" s="24" t="s">
        <v>790</v>
      </c>
      <c r="C72" s="25" t="s">
        <v>779</v>
      </c>
      <c r="D72" s="25" t="s">
        <v>599</v>
      </c>
      <c r="E72" s="25" t="s">
        <v>1095</v>
      </c>
      <c r="F72" s="25" t="s">
        <v>774</v>
      </c>
      <c r="G72" s="25">
        <v>78.568129330000005</v>
      </c>
      <c r="H72" s="25">
        <v>84.849884529999997</v>
      </c>
      <c r="I72" s="25">
        <v>87.066974599999995</v>
      </c>
      <c r="J72" s="26">
        <v>5445.3258360869568</v>
      </c>
    </row>
    <row r="73" spans="1:10">
      <c r="A73" s="23" t="s">
        <v>276</v>
      </c>
      <c r="B73" s="24" t="s">
        <v>277</v>
      </c>
      <c r="C73" s="25" t="s">
        <v>268</v>
      </c>
      <c r="D73" s="25" t="s">
        <v>269</v>
      </c>
      <c r="E73" s="25" t="s">
        <v>1097</v>
      </c>
      <c r="F73" s="25" t="s">
        <v>270</v>
      </c>
      <c r="G73" s="25">
        <v>1.6628175519999999</v>
      </c>
      <c r="H73" s="25">
        <v>5.3579676669999996</v>
      </c>
      <c r="I73" s="25">
        <v>32.424942260000002</v>
      </c>
      <c r="J73" s="26">
        <v>857.5158147608696</v>
      </c>
    </row>
    <row r="74" spans="1:10">
      <c r="A74" s="23" t="s">
        <v>265</v>
      </c>
      <c r="B74" s="24" t="s">
        <v>266</v>
      </c>
      <c r="C74" s="25" t="s">
        <v>268</v>
      </c>
      <c r="D74" s="25" t="s">
        <v>269</v>
      </c>
      <c r="E74" s="25" t="s">
        <v>1062</v>
      </c>
      <c r="F74" s="25" t="s">
        <v>270</v>
      </c>
      <c r="G74" s="25">
        <v>3.0023094690000001</v>
      </c>
      <c r="H74" s="25">
        <v>4.6189375999999997E-2</v>
      </c>
      <c r="I74" s="25">
        <v>0</v>
      </c>
      <c r="J74" s="26">
        <v>66.271714021739129</v>
      </c>
    </row>
    <row r="75" spans="1:10">
      <c r="A75" s="23" t="s">
        <v>272</v>
      </c>
      <c r="B75" s="24" t="s">
        <v>273</v>
      </c>
      <c r="C75" s="25" t="s">
        <v>268</v>
      </c>
      <c r="D75" s="25" t="s">
        <v>269</v>
      </c>
      <c r="E75" s="25" t="s">
        <v>1062</v>
      </c>
      <c r="F75" s="25" t="s">
        <v>270</v>
      </c>
      <c r="G75" s="25">
        <v>62.170900690000003</v>
      </c>
      <c r="H75" s="25">
        <v>70.900692840000005</v>
      </c>
      <c r="I75" s="25">
        <v>38.845265589999997</v>
      </c>
      <c r="J75" s="26">
        <v>3737.323024347826</v>
      </c>
    </row>
    <row r="76" spans="1:10">
      <c r="A76" s="23" t="s">
        <v>280</v>
      </c>
      <c r="B76" s="24" t="s">
        <v>281</v>
      </c>
      <c r="C76" s="25" t="s">
        <v>268</v>
      </c>
      <c r="D76" s="25" t="s">
        <v>269</v>
      </c>
      <c r="E76" s="25" t="s">
        <v>1062</v>
      </c>
      <c r="F76" s="25" t="s">
        <v>270</v>
      </c>
      <c r="G76" s="25">
        <v>74.642032330000006</v>
      </c>
      <c r="H76" s="25">
        <v>87.806004619999996</v>
      </c>
      <c r="I76" s="25">
        <v>81.616628180000006</v>
      </c>
      <c r="J76" s="26">
        <v>5305.7535897826092</v>
      </c>
    </row>
    <row r="77" spans="1:10">
      <c r="A77" s="23" t="s">
        <v>118</v>
      </c>
      <c r="B77" s="24" t="s">
        <v>119</v>
      </c>
      <c r="C77" s="25" t="s">
        <v>94</v>
      </c>
      <c r="D77" s="25" t="s">
        <v>95</v>
      </c>
      <c r="E77" s="25" t="s">
        <v>1098</v>
      </c>
      <c r="F77" s="25" t="s">
        <v>96</v>
      </c>
      <c r="G77" s="25">
        <v>0</v>
      </c>
      <c r="H77" s="25">
        <v>0</v>
      </c>
      <c r="I77" s="25">
        <v>1.7551963049999999</v>
      </c>
      <c r="J77" s="26">
        <v>38.156441413043474</v>
      </c>
    </row>
    <row r="78" spans="1:10">
      <c r="A78" s="23" t="s">
        <v>102</v>
      </c>
      <c r="B78" s="24" t="s">
        <v>103</v>
      </c>
      <c r="C78" s="25" t="s">
        <v>94</v>
      </c>
      <c r="D78" s="25" t="s">
        <v>95</v>
      </c>
      <c r="E78" s="25" t="s">
        <v>1096</v>
      </c>
      <c r="F78" s="25" t="s">
        <v>96</v>
      </c>
      <c r="G78" s="25">
        <v>10.531177830000001</v>
      </c>
      <c r="H78" s="25">
        <v>21.893764430000001</v>
      </c>
      <c r="I78" s="25">
        <v>51.224018479999998</v>
      </c>
      <c r="J78" s="26">
        <v>1818.4556682608697</v>
      </c>
    </row>
    <row r="79" spans="1:10">
      <c r="A79" s="23" t="s">
        <v>106</v>
      </c>
      <c r="B79" s="24" t="s">
        <v>107</v>
      </c>
      <c r="C79" s="25" t="s">
        <v>94</v>
      </c>
      <c r="D79" s="25" t="s">
        <v>95</v>
      </c>
      <c r="E79" s="25" t="s">
        <v>1095</v>
      </c>
      <c r="F79" s="25" t="s">
        <v>96</v>
      </c>
      <c r="G79" s="25">
        <v>0</v>
      </c>
      <c r="H79" s="25">
        <v>0</v>
      </c>
      <c r="I79" s="25">
        <v>4.6189375999999997E-2</v>
      </c>
      <c r="J79" s="26">
        <v>1.0041168695652174</v>
      </c>
    </row>
    <row r="80" spans="1:10">
      <c r="A80" s="23" t="s">
        <v>110</v>
      </c>
      <c r="B80" s="24" t="s">
        <v>111</v>
      </c>
      <c r="C80" s="25" t="s">
        <v>94</v>
      </c>
      <c r="D80" s="25" t="s">
        <v>95</v>
      </c>
      <c r="E80" s="25" t="s">
        <v>1096</v>
      </c>
      <c r="F80" s="25" t="s">
        <v>96</v>
      </c>
      <c r="G80" s="25">
        <v>0.36951501199999998</v>
      </c>
      <c r="H80" s="25">
        <v>1.2471131639999999</v>
      </c>
      <c r="I80" s="25">
        <v>0.92378752900000005</v>
      </c>
      <c r="J80" s="26">
        <v>55.22642836956522</v>
      </c>
    </row>
    <row r="81" spans="1:10">
      <c r="A81" s="23" t="s">
        <v>114</v>
      </c>
      <c r="B81" s="24" t="s">
        <v>115</v>
      </c>
      <c r="C81" s="25" t="s">
        <v>94</v>
      </c>
      <c r="D81" s="25" t="s">
        <v>95</v>
      </c>
      <c r="E81" s="25" t="s">
        <v>1098</v>
      </c>
      <c r="F81" s="25" t="s">
        <v>96</v>
      </c>
      <c r="G81" s="25">
        <v>0</v>
      </c>
      <c r="H81" s="25">
        <v>0.323325635</v>
      </c>
      <c r="I81" s="25">
        <v>0.92378752900000005</v>
      </c>
      <c r="J81" s="26">
        <v>27.111155739130435</v>
      </c>
    </row>
    <row r="82" spans="1:10">
      <c r="A82" s="23" t="s">
        <v>98</v>
      </c>
      <c r="B82" s="24" t="s">
        <v>99</v>
      </c>
      <c r="C82" s="25" t="s">
        <v>94</v>
      </c>
      <c r="D82" s="25" t="s">
        <v>95</v>
      </c>
      <c r="E82" s="25" t="s">
        <v>1096</v>
      </c>
      <c r="F82" s="25" t="s">
        <v>96</v>
      </c>
      <c r="G82" s="25">
        <v>0</v>
      </c>
      <c r="H82" s="25">
        <v>9.2378752999999994E-2</v>
      </c>
      <c r="I82" s="25">
        <v>0.50808314099999996</v>
      </c>
      <c r="J82" s="26">
        <v>13.053519434782608</v>
      </c>
    </row>
    <row r="83" spans="1:10">
      <c r="A83" s="23" t="s">
        <v>91</v>
      </c>
      <c r="B83" s="24" t="s">
        <v>92</v>
      </c>
      <c r="C83" s="25" t="s">
        <v>94</v>
      </c>
      <c r="D83" s="25" t="s">
        <v>95</v>
      </c>
      <c r="E83" s="25" t="s">
        <v>1096</v>
      </c>
      <c r="F83" s="25" t="s">
        <v>96</v>
      </c>
      <c r="G83" s="25">
        <v>41.939953809999999</v>
      </c>
      <c r="H83" s="25">
        <v>46.143187070000003</v>
      </c>
      <c r="I83" s="25">
        <v>53.764434180000002</v>
      </c>
      <c r="J83" s="26">
        <v>3083.6429360869565</v>
      </c>
    </row>
    <row r="84" spans="1:10">
      <c r="A84" s="23" t="s">
        <v>136</v>
      </c>
      <c r="B84" s="24" t="s">
        <v>137</v>
      </c>
      <c r="C84" s="25" t="s">
        <v>94</v>
      </c>
      <c r="D84" s="25" t="s">
        <v>95</v>
      </c>
      <c r="E84" s="25" t="s">
        <v>1098</v>
      </c>
      <c r="F84" s="25" t="s">
        <v>96</v>
      </c>
      <c r="G84" s="25">
        <v>0.13856812900000001</v>
      </c>
      <c r="H84" s="25">
        <v>0.41570438799999998</v>
      </c>
      <c r="I84" s="25">
        <v>4.6189375999999997E-2</v>
      </c>
      <c r="J84" s="26">
        <v>13.053519413043478</v>
      </c>
    </row>
    <row r="85" spans="1:10">
      <c r="A85" s="23" t="s">
        <v>407</v>
      </c>
      <c r="B85" s="24" t="s">
        <v>408</v>
      </c>
      <c r="C85" s="25" t="s">
        <v>400</v>
      </c>
      <c r="D85" s="25" t="s">
        <v>316</v>
      </c>
      <c r="E85" s="25" t="s">
        <v>1098</v>
      </c>
      <c r="F85" s="25" t="s">
        <v>401</v>
      </c>
      <c r="G85" s="25">
        <v>29.468822169999999</v>
      </c>
      <c r="H85" s="25">
        <v>19.35334873</v>
      </c>
      <c r="I85" s="25">
        <v>11.963048499999999</v>
      </c>
      <c r="J85" s="26">
        <v>1321.4178130434784</v>
      </c>
    </row>
    <row r="86" spans="1:10">
      <c r="A86" s="23" t="s">
        <v>403</v>
      </c>
      <c r="B86" s="24" t="s">
        <v>404</v>
      </c>
      <c r="C86" s="25" t="s">
        <v>400</v>
      </c>
      <c r="D86" s="25" t="s">
        <v>316</v>
      </c>
      <c r="E86" s="25" t="s">
        <v>1098</v>
      </c>
      <c r="F86" s="25" t="s">
        <v>401</v>
      </c>
      <c r="G86" s="25">
        <v>0.277136259</v>
      </c>
      <c r="H86" s="25">
        <v>0</v>
      </c>
      <c r="I86" s="25">
        <v>4.6189375999999997E-2</v>
      </c>
      <c r="J86" s="26">
        <v>7.0288181521739128</v>
      </c>
    </row>
    <row r="87" spans="1:10">
      <c r="A87" s="23" t="s">
        <v>397</v>
      </c>
      <c r="B87" s="24" t="s">
        <v>398</v>
      </c>
      <c r="C87" s="25" t="s">
        <v>400</v>
      </c>
      <c r="D87" s="25" t="s">
        <v>316</v>
      </c>
      <c r="E87" s="25" t="s">
        <v>1098</v>
      </c>
      <c r="F87" s="25" t="s">
        <v>401</v>
      </c>
      <c r="G87" s="25">
        <v>0</v>
      </c>
      <c r="H87" s="25">
        <v>4.6189375999999997E-2</v>
      </c>
      <c r="I87" s="25">
        <v>1.062355658</v>
      </c>
      <c r="J87" s="26">
        <v>24.098805086956524</v>
      </c>
    </row>
    <row r="88" spans="1:10">
      <c r="A88" s="23" t="s">
        <v>419</v>
      </c>
      <c r="B88" s="24" t="s">
        <v>420</v>
      </c>
      <c r="C88" s="25" t="s">
        <v>400</v>
      </c>
      <c r="D88" s="25" t="s">
        <v>316</v>
      </c>
      <c r="E88" s="25" t="s">
        <v>1096</v>
      </c>
      <c r="F88" s="25" t="s">
        <v>401</v>
      </c>
      <c r="G88" s="25">
        <v>10.484988449999999</v>
      </c>
      <c r="H88" s="25">
        <v>11.08545035</v>
      </c>
      <c r="I88" s="25">
        <v>13.949191689999999</v>
      </c>
      <c r="J88" s="26">
        <v>772.1658802173913</v>
      </c>
    </row>
    <row r="89" spans="1:10">
      <c r="A89" s="23" t="s">
        <v>411</v>
      </c>
      <c r="B89" s="24" t="s">
        <v>412</v>
      </c>
      <c r="C89" s="25" t="s">
        <v>400</v>
      </c>
      <c r="D89" s="25" t="s">
        <v>316</v>
      </c>
      <c r="E89" s="25" t="s">
        <v>1096</v>
      </c>
      <c r="F89" s="25" t="s">
        <v>401</v>
      </c>
      <c r="G89" s="25">
        <v>15.288683600000001</v>
      </c>
      <c r="H89" s="25">
        <v>14.36489607</v>
      </c>
      <c r="I89" s="25">
        <v>18.52193995</v>
      </c>
      <c r="J89" s="26">
        <v>1047.2939047826087</v>
      </c>
    </row>
    <row r="90" spans="1:10">
      <c r="A90" s="23" t="s">
        <v>415</v>
      </c>
      <c r="B90" s="24" t="s">
        <v>416</v>
      </c>
      <c r="C90" s="25" t="s">
        <v>400</v>
      </c>
      <c r="D90" s="25" t="s">
        <v>316</v>
      </c>
      <c r="E90" s="25" t="s">
        <v>1097</v>
      </c>
      <c r="F90" s="25" t="s">
        <v>401</v>
      </c>
      <c r="G90" s="25">
        <v>0.83140877599999996</v>
      </c>
      <c r="H90" s="25">
        <v>2.3094688219999999</v>
      </c>
      <c r="I90" s="25">
        <v>3.6951501150000001</v>
      </c>
      <c r="J90" s="26">
        <v>148.60929810869567</v>
      </c>
    </row>
    <row r="91" spans="1:10">
      <c r="A91" s="23" t="s">
        <v>423</v>
      </c>
      <c r="B91" s="24" t="s">
        <v>424</v>
      </c>
      <c r="C91" s="25" t="s">
        <v>400</v>
      </c>
      <c r="D91" s="25" t="s">
        <v>316</v>
      </c>
      <c r="E91" s="25" t="s">
        <v>1096</v>
      </c>
      <c r="F91" s="25" t="s">
        <v>401</v>
      </c>
      <c r="G91" s="25">
        <v>1.7551963049999999</v>
      </c>
      <c r="H91" s="25">
        <v>5.4965357969999999</v>
      </c>
      <c r="I91" s="25">
        <v>6.2817551959999998</v>
      </c>
      <c r="J91" s="26">
        <v>294.20624560869567</v>
      </c>
    </row>
    <row r="92" spans="1:10">
      <c r="A92" s="23" t="s">
        <v>427</v>
      </c>
      <c r="B92" s="24" t="s">
        <v>428</v>
      </c>
      <c r="C92" s="25" t="s">
        <v>400</v>
      </c>
      <c r="D92" s="25" t="s">
        <v>316</v>
      </c>
      <c r="E92" s="25" t="s">
        <v>1095</v>
      </c>
      <c r="F92" s="25" t="s">
        <v>401</v>
      </c>
      <c r="G92" s="25">
        <v>0.18475750599999999</v>
      </c>
      <c r="H92" s="25">
        <v>0.23094688199999999</v>
      </c>
      <c r="I92" s="25">
        <v>9.2378752999999994E-2</v>
      </c>
      <c r="J92" s="26">
        <v>11.045285673913043</v>
      </c>
    </row>
    <row r="93" spans="1:10">
      <c r="A93" s="23" t="s">
        <v>562</v>
      </c>
      <c r="B93" s="24" t="s">
        <v>563</v>
      </c>
      <c r="C93" s="25" t="s">
        <v>565</v>
      </c>
      <c r="D93" s="25" t="s">
        <v>566</v>
      </c>
      <c r="E93" s="25" t="s">
        <v>1102</v>
      </c>
      <c r="F93" s="25" t="s">
        <v>1055</v>
      </c>
      <c r="G93" s="25">
        <v>0</v>
      </c>
      <c r="H93" s="25">
        <v>4.6189375999999997E-2</v>
      </c>
      <c r="I93" s="25">
        <v>9.2378752999999994E-2</v>
      </c>
      <c r="J93" s="26">
        <v>3.0123506304347822</v>
      </c>
    </row>
    <row r="94" spans="1:10">
      <c r="A94" s="23" t="s">
        <v>550</v>
      </c>
      <c r="B94" s="24" t="s">
        <v>551</v>
      </c>
      <c r="C94" s="25" t="s">
        <v>553</v>
      </c>
      <c r="D94" s="25" t="s">
        <v>554</v>
      </c>
      <c r="E94" s="25" t="s">
        <v>1062</v>
      </c>
      <c r="F94" s="25" t="s">
        <v>555</v>
      </c>
      <c r="G94" s="25">
        <v>4.9884526559999998</v>
      </c>
      <c r="H94" s="25">
        <v>7.3903002310000003</v>
      </c>
      <c r="I94" s="25">
        <v>14.688221710000001</v>
      </c>
      <c r="J94" s="26">
        <v>588.41249123913053</v>
      </c>
    </row>
    <row r="95" spans="1:10">
      <c r="A95" s="23" t="s">
        <v>627</v>
      </c>
      <c r="B95" s="24" t="s">
        <v>628</v>
      </c>
      <c r="C95" s="25" t="s">
        <v>625</v>
      </c>
      <c r="D95" s="25" t="s">
        <v>599</v>
      </c>
      <c r="E95" s="25" t="s">
        <v>1095</v>
      </c>
      <c r="F95" s="25" t="s">
        <v>630</v>
      </c>
      <c r="G95" s="25">
        <v>57.690531180000001</v>
      </c>
      <c r="H95" s="25">
        <v>60.32332564</v>
      </c>
      <c r="I95" s="25">
        <v>64.295612009999999</v>
      </c>
      <c r="J95" s="26">
        <v>3963.2493223913048</v>
      </c>
    </row>
    <row r="96" spans="1:10">
      <c r="A96" s="23" t="s">
        <v>676</v>
      </c>
      <c r="B96" s="24" t="s">
        <v>677</v>
      </c>
      <c r="C96" s="25" t="s">
        <v>679</v>
      </c>
      <c r="D96" s="25" t="s">
        <v>599</v>
      </c>
      <c r="E96" s="25" t="s">
        <v>1062</v>
      </c>
      <c r="F96" s="25" t="s">
        <v>630</v>
      </c>
      <c r="G96" s="25">
        <v>77.182448039999997</v>
      </c>
      <c r="H96" s="25">
        <v>88.129330249999995</v>
      </c>
      <c r="I96" s="25">
        <v>91.085450350000002</v>
      </c>
      <c r="J96" s="26">
        <v>5573.852796521739</v>
      </c>
    </row>
    <row r="97" spans="1:10">
      <c r="A97" s="23" t="s">
        <v>681</v>
      </c>
      <c r="B97" s="24" t="s">
        <v>682</v>
      </c>
      <c r="C97" s="25" t="s">
        <v>679</v>
      </c>
      <c r="D97" s="25" t="s">
        <v>599</v>
      </c>
      <c r="E97" s="25" t="s">
        <v>1095</v>
      </c>
      <c r="F97" s="25" t="s">
        <v>630</v>
      </c>
      <c r="G97" s="25">
        <v>41.108545030000002</v>
      </c>
      <c r="H97" s="25">
        <v>52.840646649999996</v>
      </c>
      <c r="I97" s="25">
        <v>48.498845269999997</v>
      </c>
      <c r="J97" s="26">
        <v>3096.6964554347824</v>
      </c>
    </row>
    <row r="98" spans="1:10">
      <c r="A98" s="23" t="s">
        <v>685</v>
      </c>
      <c r="B98" s="24" t="s">
        <v>686</v>
      </c>
      <c r="C98" s="25" t="s">
        <v>679</v>
      </c>
      <c r="D98" s="25" t="s">
        <v>599</v>
      </c>
      <c r="E98" s="25" t="s">
        <v>1095</v>
      </c>
      <c r="F98" s="25" t="s">
        <v>630</v>
      </c>
      <c r="G98" s="25">
        <v>0</v>
      </c>
      <c r="H98" s="25">
        <v>0</v>
      </c>
      <c r="I98" s="25">
        <v>0.323325635</v>
      </c>
      <c r="J98" s="26">
        <v>7.0288181521739128</v>
      </c>
    </row>
    <row r="99" spans="1:10">
      <c r="A99" s="23" t="s">
        <v>688</v>
      </c>
      <c r="B99" s="24" t="s">
        <v>690</v>
      </c>
      <c r="C99" s="25" t="s">
        <v>679</v>
      </c>
      <c r="D99" s="25" t="s">
        <v>599</v>
      </c>
      <c r="E99" s="25" t="s">
        <v>1098</v>
      </c>
      <c r="F99" s="25" t="s">
        <v>630</v>
      </c>
      <c r="G99" s="25">
        <v>0</v>
      </c>
      <c r="H99" s="25">
        <v>0.18475750599999999</v>
      </c>
      <c r="I99" s="25">
        <v>10.438799080000001</v>
      </c>
      <c r="J99" s="26">
        <v>230.94688230434787</v>
      </c>
    </row>
    <row r="100" spans="1:10">
      <c r="A100" s="23" t="s">
        <v>707</v>
      </c>
      <c r="B100" s="24" t="s">
        <v>708</v>
      </c>
      <c r="C100" s="25" t="s">
        <v>679</v>
      </c>
      <c r="D100" s="25" t="s">
        <v>599</v>
      </c>
      <c r="E100" s="25" t="s">
        <v>1095</v>
      </c>
      <c r="F100" s="25" t="s">
        <v>630</v>
      </c>
      <c r="G100" s="25">
        <v>23.1408776</v>
      </c>
      <c r="H100" s="25">
        <v>12.609699770000001</v>
      </c>
      <c r="I100" s="25">
        <v>5.2655889150000004</v>
      </c>
      <c r="J100" s="26">
        <v>891.65578880434794</v>
      </c>
    </row>
    <row r="101" spans="1:10">
      <c r="A101" s="23" t="s">
        <v>692</v>
      </c>
      <c r="B101" s="24" t="s">
        <v>693</v>
      </c>
      <c r="C101" s="25" t="s">
        <v>679</v>
      </c>
      <c r="D101" s="25" t="s">
        <v>599</v>
      </c>
      <c r="E101" s="25" t="s">
        <v>1096</v>
      </c>
      <c r="F101" s="25" t="s">
        <v>630</v>
      </c>
      <c r="G101" s="25">
        <v>5.6351039260000002</v>
      </c>
      <c r="H101" s="25">
        <v>21.570438800000002</v>
      </c>
      <c r="I101" s="25">
        <v>30.623556579999999</v>
      </c>
      <c r="J101" s="26">
        <v>1257.1543327391305</v>
      </c>
    </row>
    <row r="102" spans="1:10">
      <c r="A102" s="23" t="s">
        <v>696</v>
      </c>
      <c r="B102" s="24" t="s">
        <v>697</v>
      </c>
      <c r="C102" s="25" t="s">
        <v>679</v>
      </c>
      <c r="D102" s="25" t="s">
        <v>599</v>
      </c>
      <c r="E102" s="25" t="s">
        <v>1095</v>
      </c>
      <c r="F102" s="25" t="s">
        <v>630</v>
      </c>
      <c r="G102" s="25">
        <v>43.464203230000003</v>
      </c>
      <c r="H102" s="25">
        <v>55.288683599999999</v>
      </c>
      <c r="I102" s="25">
        <v>89.191685910000004</v>
      </c>
      <c r="J102" s="26">
        <v>4085.7515813043483</v>
      </c>
    </row>
    <row r="103" spans="1:10">
      <c r="A103" s="23" t="s">
        <v>671</v>
      </c>
      <c r="B103" s="24" t="s">
        <v>672</v>
      </c>
      <c r="C103" s="25" t="s">
        <v>673</v>
      </c>
      <c r="D103" s="25" t="s">
        <v>599</v>
      </c>
      <c r="E103" s="25" t="s">
        <v>1096</v>
      </c>
      <c r="F103" s="25" t="s">
        <v>630</v>
      </c>
      <c r="G103" s="25">
        <v>76.581986139999998</v>
      </c>
      <c r="H103" s="25">
        <v>84.064665129999995</v>
      </c>
      <c r="I103" s="25">
        <v>90.30023095</v>
      </c>
      <c r="J103" s="26">
        <v>5455.367004782609</v>
      </c>
    </row>
    <row r="104" spans="1:10">
      <c r="A104" s="23" t="s">
        <v>700</v>
      </c>
      <c r="B104" s="24" t="s">
        <v>701</v>
      </c>
      <c r="C104" s="25" t="s">
        <v>679</v>
      </c>
      <c r="D104" s="25" t="s">
        <v>599</v>
      </c>
      <c r="E104" s="25" t="s">
        <v>1095</v>
      </c>
      <c r="F104" s="25" t="s">
        <v>630</v>
      </c>
      <c r="G104" s="25">
        <v>48.591224019999999</v>
      </c>
      <c r="H104" s="25">
        <v>42.956120089999999</v>
      </c>
      <c r="I104" s="25">
        <v>32.424942260000002</v>
      </c>
      <c r="J104" s="26">
        <v>2695.0497036956522</v>
      </c>
    </row>
    <row r="105" spans="1:10">
      <c r="A105" s="23" t="s">
        <v>703</v>
      </c>
      <c r="B105" s="24" t="s">
        <v>704</v>
      </c>
      <c r="C105" s="25" t="s">
        <v>679</v>
      </c>
      <c r="D105" s="25" t="s">
        <v>599</v>
      </c>
      <c r="E105" s="25" t="s">
        <v>1098</v>
      </c>
      <c r="F105" s="25" t="s">
        <v>630</v>
      </c>
      <c r="G105" s="25">
        <v>9.2378752999999994E-2</v>
      </c>
      <c r="H105" s="25">
        <v>0.69284064700000003</v>
      </c>
      <c r="I105" s="25">
        <v>9.8845265589999993</v>
      </c>
      <c r="J105" s="26">
        <v>231.95099910869567</v>
      </c>
    </row>
    <row r="106" spans="1:10">
      <c r="A106" s="23" t="s">
        <v>666</v>
      </c>
      <c r="B106" s="24" t="s">
        <v>667</v>
      </c>
      <c r="C106" s="25" t="s">
        <v>669</v>
      </c>
      <c r="D106" s="25" t="s">
        <v>599</v>
      </c>
      <c r="E106" s="25" t="s">
        <v>1062</v>
      </c>
      <c r="F106" s="25" t="s">
        <v>630</v>
      </c>
      <c r="G106" s="25">
        <v>81.709006930000001</v>
      </c>
      <c r="H106" s="25">
        <v>93.903002310000005</v>
      </c>
      <c r="I106" s="25">
        <v>97.043879910000001</v>
      </c>
      <c r="J106" s="26">
        <v>5927.3019380434789</v>
      </c>
    </row>
    <row r="107" spans="1:10">
      <c r="A107" s="23" t="s">
        <v>45</v>
      </c>
      <c r="B107" s="24" t="s">
        <v>46</v>
      </c>
      <c r="C107" s="25" t="s">
        <v>48</v>
      </c>
      <c r="D107" s="25" t="s">
        <v>49</v>
      </c>
      <c r="E107" s="25" t="s">
        <v>1102</v>
      </c>
      <c r="F107" s="25" t="s">
        <v>1031</v>
      </c>
      <c r="G107" s="25">
        <v>0</v>
      </c>
      <c r="H107" s="25">
        <v>0</v>
      </c>
      <c r="I107" s="25">
        <v>0</v>
      </c>
      <c r="J107" s="26">
        <v>0</v>
      </c>
    </row>
    <row r="108" spans="1:10">
      <c r="A108" s="23" t="s">
        <v>755</v>
      </c>
      <c r="B108" s="24" t="s">
        <v>756</v>
      </c>
      <c r="C108" s="25" t="s">
        <v>753</v>
      </c>
      <c r="D108" s="25" t="s">
        <v>599</v>
      </c>
      <c r="E108" s="25" t="s">
        <v>1102</v>
      </c>
      <c r="F108" s="25" t="s">
        <v>1033</v>
      </c>
      <c r="G108" s="25">
        <v>0</v>
      </c>
      <c r="H108" s="25">
        <v>0</v>
      </c>
      <c r="I108" s="25">
        <v>9.2378752999999994E-2</v>
      </c>
      <c r="J108" s="26">
        <v>2.0082337608695653</v>
      </c>
    </row>
    <row r="109" spans="1:10">
      <c r="A109" s="23" t="s">
        <v>767</v>
      </c>
      <c r="B109" s="24" t="s">
        <v>768</v>
      </c>
      <c r="C109" s="25" t="s">
        <v>753</v>
      </c>
      <c r="D109" s="25" t="s">
        <v>599</v>
      </c>
      <c r="E109" s="25" t="s">
        <v>1095</v>
      </c>
      <c r="F109" s="25" t="s">
        <v>740</v>
      </c>
      <c r="G109" s="25">
        <v>2.5866050810000001</v>
      </c>
      <c r="H109" s="25">
        <v>0.69284064700000003</v>
      </c>
      <c r="I109" s="25">
        <v>1.385681293</v>
      </c>
      <c r="J109" s="26">
        <v>101.41580480434783</v>
      </c>
    </row>
    <row r="110" spans="1:10">
      <c r="A110" s="23" t="s">
        <v>759</v>
      </c>
      <c r="B110" s="24" t="s">
        <v>760</v>
      </c>
      <c r="C110" s="25" t="s">
        <v>753</v>
      </c>
      <c r="D110" s="25" t="s">
        <v>599</v>
      </c>
      <c r="E110" s="25" t="s">
        <v>1095</v>
      </c>
      <c r="F110" s="25" t="s">
        <v>740</v>
      </c>
      <c r="G110" s="25">
        <v>38.66050808</v>
      </c>
      <c r="H110" s="25">
        <v>57.690531180000001</v>
      </c>
      <c r="I110" s="25">
        <v>75.242494230000005</v>
      </c>
      <c r="J110" s="26">
        <v>3730.2942063043479</v>
      </c>
    </row>
    <row r="111" spans="1:10">
      <c r="A111" s="23" t="s">
        <v>750</v>
      </c>
      <c r="B111" s="24" t="s">
        <v>751</v>
      </c>
      <c r="C111" s="25" t="s">
        <v>753</v>
      </c>
      <c r="D111" s="25" t="s">
        <v>599</v>
      </c>
      <c r="E111" s="25" t="s">
        <v>1095</v>
      </c>
      <c r="F111" s="25" t="s">
        <v>740</v>
      </c>
      <c r="G111" s="25">
        <v>52.009237880000001</v>
      </c>
      <c r="H111" s="25">
        <v>22.956120089999999</v>
      </c>
      <c r="I111" s="25">
        <v>26.281755199999999</v>
      </c>
      <c r="J111" s="26">
        <v>2201.0241993478262</v>
      </c>
    </row>
    <row r="112" spans="1:10">
      <c r="A112" s="23" t="s">
        <v>763</v>
      </c>
      <c r="B112" s="24" t="s">
        <v>764</v>
      </c>
      <c r="C112" s="25" t="s">
        <v>753</v>
      </c>
      <c r="D112" s="25" t="s">
        <v>599</v>
      </c>
      <c r="E112" s="25" t="s">
        <v>1095</v>
      </c>
      <c r="F112" s="25" t="s">
        <v>740</v>
      </c>
      <c r="G112" s="25">
        <v>51.824480370000003</v>
      </c>
      <c r="H112" s="25">
        <v>63.602771359999998</v>
      </c>
      <c r="I112" s="25">
        <v>61.431870670000002</v>
      </c>
      <c r="J112" s="26">
        <v>3844.7635304347823</v>
      </c>
    </row>
    <row r="113" spans="1:10">
      <c r="A113" s="23" t="s">
        <v>742</v>
      </c>
      <c r="B113" s="24" t="s">
        <v>743</v>
      </c>
      <c r="C113" s="25" t="s">
        <v>739</v>
      </c>
      <c r="D113" s="25" t="s">
        <v>599</v>
      </c>
      <c r="E113" s="25" t="s">
        <v>1095</v>
      </c>
      <c r="F113" s="25" t="s">
        <v>740</v>
      </c>
      <c r="G113" s="25">
        <v>0</v>
      </c>
      <c r="H113" s="25">
        <v>0.55427251700000002</v>
      </c>
      <c r="I113" s="25">
        <v>0.73903002299999998</v>
      </c>
      <c r="J113" s="26">
        <v>28.115272608695651</v>
      </c>
    </row>
    <row r="114" spans="1:10">
      <c r="A114" s="23" t="s">
        <v>746</v>
      </c>
      <c r="B114" s="24" t="s">
        <v>747</v>
      </c>
      <c r="C114" s="25" t="s">
        <v>739</v>
      </c>
      <c r="D114" s="25" t="s">
        <v>599</v>
      </c>
      <c r="E114" s="25" t="s">
        <v>1095</v>
      </c>
      <c r="F114" s="25" t="s">
        <v>740</v>
      </c>
      <c r="G114" s="25">
        <v>1.3394919169999999</v>
      </c>
      <c r="H114" s="25">
        <v>1.0161662819999999</v>
      </c>
      <c r="I114" s="25">
        <v>0.64665127</v>
      </c>
      <c r="J114" s="26">
        <v>65.267597152173906</v>
      </c>
    </row>
    <row r="115" spans="1:10">
      <c r="A115" s="23" t="s">
        <v>736</v>
      </c>
      <c r="B115" s="24" t="s">
        <v>737</v>
      </c>
      <c r="C115" s="25" t="s">
        <v>739</v>
      </c>
      <c r="D115" s="25" t="s">
        <v>599</v>
      </c>
      <c r="E115" s="25" t="s">
        <v>1095</v>
      </c>
      <c r="F115" s="25" t="s">
        <v>740</v>
      </c>
      <c r="G115" s="25">
        <v>10.715935330000001</v>
      </c>
      <c r="H115" s="25">
        <v>19.49191686</v>
      </c>
      <c r="I115" s="25">
        <v>25.958429559999999</v>
      </c>
      <c r="J115" s="26">
        <v>1221.0061249999999</v>
      </c>
    </row>
    <row r="116" spans="1:10">
      <c r="A116" s="23" t="s">
        <v>538</v>
      </c>
      <c r="B116" s="24" t="s">
        <v>539</v>
      </c>
      <c r="C116" s="25" t="s">
        <v>541</v>
      </c>
      <c r="D116" s="25" t="s">
        <v>542</v>
      </c>
      <c r="E116" s="25" t="s">
        <v>1095</v>
      </c>
      <c r="F116" s="25" t="s">
        <v>1053</v>
      </c>
      <c r="G116" s="25">
        <v>6.9745958430000004</v>
      </c>
      <c r="H116" s="25">
        <v>5.6812933030000003</v>
      </c>
      <c r="I116" s="25">
        <v>11.22401848</v>
      </c>
      <c r="J116" s="26">
        <v>519.12842665217386</v>
      </c>
    </row>
    <row r="117" spans="1:10">
      <c r="A117" s="23" t="s">
        <v>924</v>
      </c>
      <c r="B117" s="24" t="s">
        <v>925</v>
      </c>
      <c r="C117" s="25" t="s">
        <v>625</v>
      </c>
      <c r="D117" s="25" t="s">
        <v>599</v>
      </c>
      <c r="E117" s="25" t="s">
        <v>1096</v>
      </c>
      <c r="F117" s="25" t="s">
        <v>914</v>
      </c>
      <c r="G117" s="25">
        <v>53.30254042</v>
      </c>
      <c r="H117" s="25">
        <v>63.048498850000001</v>
      </c>
      <c r="I117" s="25">
        <v>64.064665129999995</v>
      </c>
      <c r="J117" s="26">
        <v>3922.0805304347823</v>
      </c>
    </row>
    <row r="118" spans="1:10">
      <c r="A118" s="23" t="s">
        <v>939</v>
      </c>
      <c r="B118" s="24" t="s">
        <v>940</v>
      </c>
      <c r="C118" s="25" t="s">
        <v>647</v>
      </c>
      <c r="D118" s="25" t="s">
        <v>599</v>
      </c>
      <c r="E118" s="25" t="s">
        <v>1062</v>
      </c>
      <c r="F118" s="25" t="s">
        <v>914</v>
      </c>
      <c r="G118" s="25">
        <v>6.0969976910000003</v>
      </c>
      <c r="H118" s="25">
        <v>21.939953809999999</v>
      </c>
      <c r="I118" s="25">
        <v>53.441108550000003</v>
      </c>
      <c r="J118" s="26">
        <v>1771.2621750217393</v>
      </c>
    </row>
    <row r="119" spans="1:10">
      <c r="A119" s="23" t="s">
        <v>935</v>
      </c>
      <c r="B119" s="24" t="s">
        <v>936</v>
      </c>
      <c r="C119" s="25" t="s">
        <v>647</v>
      </c>
      <c r="D119" s="25" t="s">
        <v>599</v>
      </c>
      <c r="E119" s="25" t="s">
        <v>1062</v>
      </c>
      <c r="F119" s="25" t="s">
        <v>914</v>
      </c>
      <c r="G119" s="25">
        <v>71.039260970000001</v>
      </c>
      <c r="H119" s="25">
        <v>86.558891450000004</v>
      </c>
      <c r="I119" s="25">
        <v>85.819861430000003</v>
      </c>
      <c r="J119" s="26">
        <v>5291.6959532608698</v>
      </c>
    </row>
    <row r="120" spans="1:10">
      <c r="A120" s="23" t="s">
        <v>931</v>
      </c>
      <c r="B120" s="24" t="s">
        <v>932</v>
      </c>
      <c r="C120" s="25" t="s">
        <v>647</v>
      </c>
      <c r="D120" s="25" t="s">
        <v>599</v>
      </c>
      <c r="E120" s="25" t="s">
        <v>1062</v>
      </c>
      <c r="F120" s="25" t="s">
        <v>914</v>
      </c>
      <c r="G120" s="25">
        <v>7.2979214780000001</v>
      </c>
      <c r="H120" s="25">
        <v>10.90069284</v>
      </c>
      <c r="I120" s="25">
        <v>9.6073903000000005</v>
      </c>
      <c r="J120" s="26">
        <v>604.47836126086963</v>
      </c>
    </row>
    <row r="121" spans="1:10">
      <c r="A121" s="23" t="s">
        <v>928</v>
      </c>
      <c r="B121" s="24" t="s">
        <v>929</v>
      </c>
      <c r="C121" s="25" t="s">
        <v>647</v>
      </c>
      <c r="D121" s="25" t="s">
        <v>599</v>
      </c>
      <c r="E121" s="25" t="s">
        <v>1062</v>
      </c>
      <c r="F121" s="25" t="s">
        <v>914</v>
      </c>
      <c r="G121" s="25">
        <v>15.33487298</v>
      </c>
      <c r="H121" s="25">
        <v>26.14318707</v>
      </c>
      <c r="I121" s="25">
        <v>39.67667436</v>
      </c>
      <c r="J121" s="26">
        <v>1764.2333567391306</v>
      </c>
    </row>
    <row r="122" spans="1:10">
      <c r="A122" s="23" t="s">
        <v>911</v>
      </c>
      <c r="B122" s="24" t="s">
        <v>912</v>
      </c>
      <c r="C122" s="25" t="s">
        <v>647</v>
      </c>
      <c r="D122" s="25" t="s">
        <v>599</v>
      </c>
      <c r="E122" s="25" t="s">
        <v>1062</v>
      </c>
      <c r="F122" s="25" t="s">
        <v>914</v>
      </c>
      <c r="G122" s="25">
        <v>44.711316400000001</v>
      </c>
      <c r="H122" s="25">
        <v>62.771362590000003</v>
      </c>
      <c r="I122" s="25">
        <v>52.240184759999998</v>
      </c>
      <c r="J122" s="26">
        <v>3472.2361684782613</v>
      </c>
    </row>
    <row r="123" spans="1:10">
      <c r="A123" s="23" t="s">
        <v>920</v>
      </c>
      <c r="B123" s="24" t="s">
        <v>921</v>
      </c>
      <c r="C123" s="25" t="s">
        <v>647</v>
      </c>
      <c r="D123" s="25" t="s">
        <v>599</v>
      </c>
      <c r="E123" s="25" t="s">
        <v>1062</v>
      </c>
      <c r="F123" s="25" t="s">
        <v>914</v>
      </c>
      <c r="G123" s="25">
        <v>0.13856812900000001</v>
      </c>
      <c r="H123" s="25">
        <v>0.969976905</v>
      </c>
      <c r="I123" s="25">
        <v>0.18475750599999999</v>
      </c>
      <c r="J123" s="26">
        <v>28.115272608695651</v>
      </c>
    </row>
    <row r="124" spans="1:10">
      <c r="A124" s="23" t="s">
        <v>916</v>
      </c>
      <c r="B124" s="24" t="s">
        <v>917</v>
      </c>
      <c r="C124" s="25" t="s">
        <v>647</v>
      </c>
      <c r="D124" s="25" t="s">
        <v>599</v>
      </c>
      <c r="E124" s="25" t="s">
        <v>1062</v>
      </c>
      <c r="F124" s="25" t="s">
        <v>914</v>
      </c>
      <c r="G124" s="25">
        <v>75.796766739999995</v>
      </c>
      <c r="H124" s="25">
        <v>79.953810619999999</v>
      </c>
      <c r="I124" s="25">
        <v>83.695150119999994</v>
      </c>
      <c r="J124" s="26">
        <v>5205.3419017391307</v>
      </c>
    </row>
    <row r="125" spans="1:10">
      <c r="A125" s="23" t="s">
        <v>605</v>
      </c>
      <c r="B125" s="24" t="s">
        <v>606</v>
      </c>
      <c r="C125" s="25" t="s">
        <v>598</v>
      </c>
      <c r="D125" s="25" t="s">
        <v>599</v>
      </c>
      <c r="E125" s="25" t="s">
        <v>1096</v>
      </c>
      <c r="F125" s="25" t="s">
        <v>600</v>
      </c>
      <c r="G125" s="25">
        <v>95.889145499999998</v>
      </c>
      <c r="H125" s="25">
        <v>97.921478059999998</v>
      </c>
      <c r="I125" s="25">
        <v>97.829099310000004</v>
      </c>
      <c r="J125" s="26">
        <v>6339.9939754347834</v>
      </c>
    </row>
    <row r="126" spans="1:10">
      <c r="A126" s="23" t="s">
        <v>622</v>
      </c>
      <c r="B126" s="24" t="s">
        <v>623</v>
      </c>
      <c r="C126" s="25" t="s">
        <v>625</v>
      </c>
      <c r="D126" s="25" t="s">
        <v>599</v>
      </c>
      <c r="E126" s="25" t="s">
        <v>1095</v>
      </c>
      <c r="F126" s="25" t="s">
        <v>600</v>
      </c>
      <c r="G126" s="25">
        <v>1.2009237880000001</v>
      </c>
      <c r="H126" s="25">
        <v>0.36951501199999998</v>
      </c>
      <c r="I126" s="25">
        <v>4.6189375999999997E-2</v>
      </c>
      <c r="J126" s="26">
        <v>35.1440907826087</v>
      </c>
    </row>
    <row r="127" spans="1:10">
      <c r="A127" s="23" t="s">
        <v>636</v>
      </c>
      <c r="B127" s="24" t="s">
        <v>637</v>
      </c>
      <c r="C127" s="25" t="s">
        <v>625</v>
      </c>
      <c r="D127" s="25" t="s">
        <v>599</v>
      </c>
      <c r="E127" s="25" t="s">
        <v>1096</v>
      </c>
      <c r="F127" s="25" t="s">
        <v>600</v>
      </c>
      <c r="G127" s="25">
        <v>0.83140877599999996</v>
      </c>
      <c r="H127" s="25">
        <v>1.062355658</v>
      </c>
      <c r="I127" s="25">
        <v>0.277136259</v>
      </c>
      <c r="J127" s="26">
        <v>47.193493326086958</v>
      </c>
    </row>
    <row r="128" spans="1:10">
      <c r="A128" s="23" t="s">
        <v>632</v>
      </c>
      <c r="B128" s="24" t="s">
        <v>633</v>
      </c>
      <c r="C128" s="25" t="s">
        <v>625</v>
      </c>
      <c r="D128" s="25" t="s">
        <v>599</v>
      </c>
      <c r="E128" s="25" t="s">
        <v>1098</v>
      </c>
      <c r="F128" s="25" t="s">
        <v>600</v>
      </c>
      <c r="G128" s="25">
        <v>56.766743650000002</v>
      </c>
      <c r="H128" s="25">
        <v>56.859122399999997</v>
      </c>
      <c r="I128" s="25">
        <v>56.859122399999997</v>
      </c>
      <c r="J128" s="26">
        <v>3706.1954010869567</v>
      </c>
    </row>
    <row r="129" spans="1:10">
      <c r="A129" s="23" t="s">
        <v>595</v>
      </c>
      <c r="B129" s="24" t="s">
        <v>596</v>
      </c>
      <c r="C129" s="25" t="s">
        <v>598</v>
      </c>
      <c r="D129" s="25" t="s">
        <v>599</v>
      </c>
      <c r="E129" s="25" t="s">
        <v>1062</v>
      </c>
      <c r="F129" s="25" t="s">
        <v>600</v>
      </c>
      <c r="G129" s="25">
        <v>8.5912240180000001</v>
      </c>
      <c r="H129" s="25">
        <v>1.7551963049999999</v>
      </c>
      <c r="I129" s="25">
        <v>4.6189375999999997E-2</v>
      </c>
      <c r="J129" s="26">
        <v>225.92629780434783</v>
      </c>
    </row>
    <row r="130" spans="1:10">
      <c r="A130" s="23" t="s">
        <v>602</v>
      </c>
      <c r="B130" s="24" t="s">
        <v>603</v>
      </c>
      <c r="C130" s="25" t="s">
        <v>598</v>
      </c>
      <c r="D130" s="25" t="s">
        <v>599</v>
      </c>
      <c r="E130" s="25" t="s">
        <v>1098</v>
      </c>
      <c r="F130" s="25" t="s">
        <v>600</v>
      </c>
      <c r="G130" s="25">
        <v>6.2817551959999998</v>
      </c>
      <c r="H130" s="25">
        <v>6.8822170900000001</v>
      </c>
      <c r="I130" s="25">
        <v>16.443418009999998</v>
      </c>
      <c r="J130" s="26">
        <v>643.63891947826085</v>
      </c>
    </row>
    <row r="131" spans="1:10">
      <c r="A131" s="23" t="s">
        <v>653</v>
      </c>
      <c r="B131" s="24" t="s">
        <v>654</v>
      </c>
      <c r="C131" s="25" t="s">
        <v>625</v>
      </c>
      <c r="D131" s="25" t="s">
        <v>599</v>
      </c>
      <c r="E131" s="25" t="s">
        <v>1098</v>
      </c>
      <c r="F131" s="25" t="s">
        <v>600</v>
      </c>
      <c r="G131" s="25">
        <v>76.766743649999995</v>
      </c>
      <c r="H131" s="25">
        <v>93.163972290000004</v>
      </c>
      <c r="I131" s="25">
        <v>94.965357969999999</v>
      </c>
      <c r="J131" s="26">
        <v>5758.6103023913038</v>
      </c>
    </row>
    <row r="132" spans="1:10">
      <c r="A132" s="23" t="s">
        <v>657</v>
      </c>
      <c r="B132" s="24" t="s">
        <v>658</v>
      </c>
      <c r="C132" s="25" t="s">
        <v>625</v>
      </c>
      <c r="D132" s="25" t="s">
        <v>599</v>
      </c>
      <c r="E132" s="25" t="s">
        <v>1098</v>
      </c>
      <c r="F132" s="25" t="s">
        <v>600</v>
      </c>
      <c r="G132" s="25">
        <v>0</v>
      </c>
      <c r="H132" s="25">
        <v>0.18475750599999999</v>
      </c>
      <c r="I132" s="25">
        <v>0</v>
      </c>
      <c r="J132" s="26">
        <v>4.0164675217391306</v>
      </c>
    </row>
    <row r="133" spans="1:10">
      <c r="A133" s="23" t="s">
        <v>649</v>
      </c>
      <c r="B133" s="24" t="s">
        <v>650</v>
      </c>
      <c r="C133" s="25" t="s">
        <v>625</v>
      </c>
      <c r="D133" s="25" t="s">
        <v>599</v>
      </c>
      <c r="E133" s="25" t="s">
        <v>1096</v>
      </c>
      <c r="F133" s="25" t="s">
        <v>600</v>
      </c>
      <c r="G133" s="25">
        <v>4.5727482679999998</v>
      </c>
      <c r="H133" s="25">
        <v>15.057736719999999</v>
      </c>
      <c r="I133" s="25">
        <v>10.069284059999999</v>
      </c>
      <c r="J133" s="26">
        <v>645.64715321739129</v>
      </c>
    </row>
    <row r="134" spans="1:10">
      <c r="A134" s="23" t="s">
        <v>640</v>
      </c>
      <c r="B134" s="24" t="s">
        <v>641</v>
      </c>
      <c r="C134" s="25" t="s">
        <v>625</v>
      </c>
      <c r="D134" s="25" t="s">
        <v>599</v>
      </c>
      <c r="E134" s="25" t="s">
        <v>1095</v>
      </c>
      <c r="F134" s="25" t="s">
        <v>600</v>
      </c>
      <c r="G134" s="25">
        <v>24.942263279999999</v>
      </c>
      <c r="H134" s="25">
        <v>17.4595843</v>
      </c>
      <c r="I134" s="25">
        <v>23.3256351</v>
      </c>
      <c r="J134" s="26">
        <v>1428.8583191304347</v>
      </c>
    </row>
    <row r="135" spans="1:10">
      <c r="A135" s="23" t="s">
        <v>644</v>
      </c>
      <c r="B135" s="24" t="s">
        <v>645</v>
      </c>
      <c r="C135" s="25" t="s">
        <v>625</v>
      </c>
      <c r="D135" s="25" t="s">
        <v>599</v>
      </c>
      <c r="E135" s="25" t="s">
        <v>1095</v>
      </c>
      <c r="F135" s="25" t="s">
        <v>600</v>
      </c>
      <c r="G135" s="25">
        <v>0</v>
      </c>
      <c r="H135" s="25">
        <v>0.13856812900000001</v>
      </c>
      <c r="I135" s="25">
        <v>0</v>
      </c>
      <c r="J135" s="26">
        <v>3.0123506304347831</v>
      </c>
    </row>
    <row r="136" spans="1:10">
      <c r="A136" s="23" t="s">
        <v>895</v>
      </c>
      <c r="B136" s="24" t="s">
        <v>896</v>
      </c>
      <c r="C136" s="25" t="s">
        <v>898</v>
      </c>
      <c r="D136" s="25" t="s">
        <v>599</v>
      </c>
      <c r="E136" s="25" t="s">
        <v>1095</v>
      </c>
      <c r="F136" s="25" t="s">
        <v>899</v>
      </c>
      <c r="G136" s="25">
        <v>9.2840646650000007</v>
      </c>
      <c r="H136" s="25">
        <v>3.0484988450000001</v>
      </c>
      <c r="I136" s="25">
        <v>1.0161662819999999</v>
      </c>
      <c r="J136" s="26">
        <v>290.18977808695655</v>
      </c>
    </row>
    <row r="137" spans="1:10">
      <c r="A137" s="23" t="s">
        <v>534</v>
      </c>
      <c r="B137" s="24" t="s">
        <v>535</v>
      </c>
      <c r="C137" s="25" t="s">
        <v>515</v>
      </c>
      <c r="D137" s="25" t="s">
        <v>510</v>
      </c>
      <c r="E137" s="25" t="s">
        <v>1062</v>
      </c>
      <c r="F137" s="25" t="s">
        <v>520</v>
      </c>
      <c r="G137" s="25">
        <v>0</v>
      </c>
      <c r="H137" s="25">
        <v>9.2378752999999994E-2</v>
      </c>
      <c r="I137" s="25">
        <v>0.64665127</v>
      </c>
      <c r="J137" s="26">
        <v>16.065870065217393</v>
      </c>
    </row>
    <row r="138" spans="1:10">
      <c r="A138" s="23" t="s">
        <v>530</v>
      </c>
      <c r="B138" s="24" t="s">
        <v>531</v>
      </c>
      <c r="C138" s="25" t="s">
        <v>515</v>
      </c>
      <c r="D138" s="25" t="s">
        <v>510</v>
      </c>
      <c r="E138" s="25" t="s">
        <v>1096</v>
      </c>
      <c r="F138" s="25" t="s">
        <v>520</v>
      </c>
      <c r="G138" s="25">
        <v>2.0785219399999999</v>
      </c>
      <c r="H138" s="25">
        <v>0.69284064700000003</v>
      </c>
      <c r="I138" s="25">
        <v>0.36951501199999998</v>
      </c>
      <c r="J138" s="26">
        <v>68.279947804347827</v>
      </c>
    </row>
    <row r="139" spans="1:10">
      <c r="A139" s="23" t="s">
        <v>526</v>
      </c>
      <c r="B139" s="24" t="s">
        <v>527</v>
      </c>
      <c r="C139" s="25" t="s">
        <v>515</v>
      </c>
      <c r="D139" s="25" t="s">
        <v>510</v>
      </c>
      <c r="E139" s="25" t="s">
        <v>1062</v>
      </c>
      <c r="F139" s="25" t="s">
        <v>520</v>
      </c>
      <c r="G139" s="25">
        <v>19.722863740000001</v>
      </c>
      <c r="H139" s="25">
        <v>31.270207849999998</v>
      </c>
      <c r="I139" s="25">
        <v>27.436489609999999</v>
      </c>
      <c r="J139" s="26">
        <v>1704.9904608695651</v>
      </c>
    </row>
    <row r="140" spans="1:10">
      <c r="A140" s="23" t="s">
        <v>517</v>
      </c>
      <c r="B140" s="24" t="s">
        <v>518</v>
      </c>
      <c r="C140" s="25" t="s">
        <v>515</v>
      </c>
      <c r="D140" s="25" t="s">
        <v>510</v>
      </c>
      <c r="E140" s="25" t="s">
        <v>1062</v>
      </c>
      <c r="F140" s="25" t="s">
        <v>520</v>
      </c>
      <c r="G140" s="25">
        <v>15.612009240000001</v>
      </c>
      <c r="H140" s="25">
        <v>5.080831409</v>
      </c>
      <c r="I140" s="25">
        <v>1.2009237880000001</v>
      </c>
      <c r="J140" s="26">
        <v>475.95140080434788</v>
      </c>
    </row>
    <row r="141" spans="1:10">
      <c r="A141" s="23" t="s">
        <v>512</v>
      </c>
      <c r="B141" s="24" t="s">
        <v>513</v>
      </c>
      <c r="C141" s="25" t="s">
        <v>515</v>
      </c>
      <c r="D141" s="25" t="s">
        <v>510</v>
      </c>
      <c r="E141" s="25" t="s">
        <v>1062</v>
      </c>
      <c r="F141" s="25" t="s">
        <v>520</v>
      </c>
      <c r="G141" s="25">
        <v>0</v>
      </c>
      <c r="H141" s="25">
        <v>1.29330254</v>
      </c>
      <c r="I141" s="25">
        <v>4.8498845270000004</v>
      </c>
      <c r="J141" s="26">
        <v>133.54754493478262</v>
      </c>
    </row>
    <row r="142" spans="1:10">
      <c r="A142" s="23" t="s">
        <v>522</v>
      </c>
      <c r="B142" s="24" t="s">
        <v>523</v>
      </c>
      <c r="C142" s="25" t="s">
        <v>515</v>
      </c>
      <c r="D142" s="25" t="s">
        <v>510</v>
      </c>
      <c r="E142" s="25" t="s">
        <v>1062</v>
      </c>
      <c r="F142" s="25" t="s">
        <v>520</v>
      </c>
      <c r="G142" s="25">
        <v>38.152424940000003</v>
      </c>
      <c r="H142" s="25">
        <v>41.478060050000003</v>
      </c>
      <c r="I142" s="25">
        <v>47.066974600000002</v>
      </c>
      <c r="J142" s="26">
        <v>2754.2925997826092</v>
      </c>
    </row>
    <row r="143" spans="1:10">
      <c r="A143" s="23" t="s">
        <v>506</v>
      </c>
      <c r="B143" s="24" t="s">
        <v>507</v>
      </c>
      <c r="C143" s="25" t="s">
        <v>509</v>
      </c>
      <c r="D143" s="25" t="s">
        <v>510</v>
      </c>
      <c r="E143" s="25" t="s">
        <v>1062</v>
      </c>
      <c r="F143" s="25" t="s">
        <v>520</v>
      </c>
      <c r="G143" s="25">
        <v>3.3256351039999998</v>
      </c>
      <c r="H143" s="25">
        <v>1.9399538110000001</v>
      </c>
      <c r="I143" s="25">
        <v>7.9445727479999997</v>
      </c>
      <c r="J143" s="26">
        <v>287.17742745652174</v>
      </c>
    </row>
    <row r="144" spans="1:10">
      <c r="A144" s="23" t="s">
        <v>987</v>
      </c>
      <c r="B144" s="24" t="s">
        <v>988</v>
      </c>
      <c r="C144" s="25" t="s">
        <v>962</v>
      </c>
      <c r="D144" s="25" t="s">
        <v>599</v>
      </c>
      <c r="E144" s="25" t="s">
        <v>1098</v>
      </c>
      <c r="F144" s="25" t="s">
        <v>953</v>
      </c>
      <c r="G144" s="25">
        <v>6.4665127020000002</v>
      </c>
      <c r="H144" s="25">
        <v>39.907621249999998</v>
      </c>
      <c r="I144" s="25">
        <v>46.65127021</v>
      </c>
      <c r="J144" s="26">
        <v>2022.2913948260871</v>
      </c>
    </row>
    <row r="145" spans="1:10">
      <c r="A145" s="23" t="s">
        <v>975</v>
      </c>
      <c r="B145" s="24" t="s">
        <v>976</v>
      </c>
      <c r="C145" s="25" t="s">
        <v>962</v>
      </c>
      <c r="D145" s="25" t="s">
        <v>599</v>
      </c>
      <c r="E145" s="25" t="s">
        <v>1096</v>
      </c>
      <c r="F145" s="25" t="s">
        <v>953</v>
      </c>
      <c r="G145" s="25">
        <v>43.695150120000001</v>
      </c>
      <c r="H145" s="25">
        <v>59.861431869999997</v>
      </c>
      <c r="I145" s="25">
        <v>72.933025400000005</v>
      </c>
      <c r="J145" s="26">
        <v>3836.7305954347826</v>
      </c>
    </row>
    <row r="146" spans="1:10">
      <c r="A146" s="23" t="s">
        <v>1003</v>
      </c>
      <c r="B146" s="24" t="s">
        <v>1004</v>
      </c>
      <c r="C146" s="25" t="s">
        <v>962</v>
      </c>
      <c r="D146" s="25" t="s">
        <v>599</v>
      </c>
      <c r="E146" s="25" t="s">
        <v>1095</v>
      </c>
      <c r="F146" s="25" t="s">
        <v>953</v>
      </c>
      <c r="G146" s="25">
        <v>0.277136259</v>
      </c>
      <c r="H146" s="25">
        <v>5.6351039260000002</v>
      </c>
      <c r="I146" s="25">
        <v>1.709006928</v>
      </c>
      <c r="J146" s="26">
        <v>165.67928506521739</v>
      </c>
    </row>
    <row r="147" spans="1:10">
      <c r="A147" s="23" t="s">
        <v>971</v>
      </c>
      <c r="B147" s="24" t="s">
        <v>972</v>
      </c>
      <c r="C147" s="25" t="s">
        <v>962</v>
      </c>
      <c r="D147" s="25" t="s">
        <v>599</v>
      </c>
      <c r="E147" s="25" t="s">
        <v>1096</v>
      </c>
      <c r="F147" s="25" t="s">
        <v>953</v>
      </c>
      <c r="G147" s="25">
        <v>75.473441109999996</v>
      </c>
      <c r="H147" s="25">
        <v>90.577367210000006</v>
      </c>
      <c r="I147" s="25">
        <v>93.441108549999996</v>
      </c>
      <c r="J147" s="26">
        <v>5641.1286276086948</v>
      </c>
    </row>
    <row r="148" spans="1:10">
      <c r="A148" s="23" t="s">
        <v>1011</v>
      </c>
      <c r="B148" s="24" t="s">
        <v>1012</v>
      </c>
      <c r="C148" s="25" t="s">
        <v>962</v>
      </c>
      <c r="D148" s="25" t="s">
        <v>599</v>
      </c>
      <c r="E148" s="25" t="s">
        <v>1062</v>
      </c>
      <c r="F148" s="25" t="s">
        <v>953</v>
      </c>
      <c r="G148" s="25">
        <v>15.75057737</v>
      </c>
      <c r="H148" s="25">
        <v>27.80600462</v>
      </c>
      <c r="I148" s="25">
        <v>33.67205543</v>
      </c>
      <c r="J148" s="26">
        <v>1678.883422173913</v>
      </c>
    </row>
    <row r="149" spans="1:10">
      <c r="A149" s="23" t="s">
        <v>983</v>
      </c>
      <c r="B149" s="24" t="s">
        <v>984</v>
      </c>
      <c r="C149" s="25" t="s">
        <v>962</v>
      </c>
      <c r="D149" s="25" t="s">
        <v>599</v>
      </c>
      <c r="E149" s="25" t="s">
        <v>1098</v>
      </c>
      <c r="F149" s="25" t="s">
        <v>953</v>
      </c>
      <c r="G149" s="25">
        <v>85.265588910000005</v>
      </c>
      <c r="H149" s="25">
        <v>92.101616629999995</v>
      </c>
      <c r="I149" s="25">
        <v>81.709006930000001</v>
      </c>
      <c r="J149" s="26">
        <v>5632.0915754347825</v>
      </c>
    </row>
    <row r="150" spans="1:10">
      <c r="A150" s="23" t="s">
        <v>995</v>
      </c>
      <c r="B150" s="24" t="s">
        <v>996</v>
      </c>
      <c r="C150" s="25" t="s">
        <v>962</v>
      </c>
      <c r="D150" s="25" t="s">
        <v>599</v>
      </c>
      <c r="E150" s="25" t="s">
        <v>1096</v>
      </c>
      <c r="F150" s="25" t="s">
        <v>953</v>
      </c>
      <c r="G150" s="25">
        <v>7.0669745959999997</v>
      </c>
      <c r="H150" s="25">
        <v>20.277136259999999</v>
      </c>
      <c r="I150" s="25">
        <v>15.38106236</v>
      </c>
      <c r="J150" s="26">
        <v>928.80811339130435</v>
      </c>
    </row>
    <row r="151" spans="1:10">
      <c r="A151" s="23" t="s">
        <v>991</v>
      </c>
      <c r="B151" s="24" t="s">
        <v>992</v>
      </c>
      <c r="C151" s="25" t="s">
        <v>962</v>
      </c>
      <c r="D151" s="25" t="s">
        <v>599</v>
      </c>
      <c r="E151" s="25" t="s">
        <v>1096</v>
      </c>
      <c r="F151" s="25" t="s">
        <v>953</v>
      </c>
      <c r="G151" s="25">
        <v>0</v>
      </c>
      <c r="H151" s="25">
        <v>0</v>
      </c>
      <c r="I151" s="25">
        <v>0.23094688199999999</v>
      </c>
      <c r="J151" s="26">
        <v>5.0205843913043475</v>
      </c>
    </row>
    <row r="152" spans="1:10">
      <c r="A152" s="23" t="s">
        <v>999</v>
      </c>
      <c r="B152" s="24" t="s">
        <v>1000</v>
      </c>
      <c r="C152" s="25" t="s">
        <v>962</v>
      </c>
      <c r="D152" s="25" t="s">
        <v>599</v>
      </c>
      <c r="E152" s="25" t="s">
        <v>1062</v>
      </c>
      <c r="F152" s="25" t="s">
        <v>953</v>
      </c>
      <c r="G152" s="25">
        <v>0</v>
      </c>
      <c r="H152" s="25">
        <v>4.6189375999999997E-2</v>
      </c>
      <c r="I152" s="25">
        <v>0.13856812900000001</v>
      </c>
      <c r="J152" s="26">
        <v>4.0164675000000001</v>
      </c>
    </row>
    <row r="153" spans="1:10">
      <c r="A153" s="23" t="s">
        <v>949</v>
      </c>
      <c r="B153" s="24" t="s">
        <v>950</v>
      </c>
      <c r="C153" s="25" t="s">
        <v>952</v>
      </c>
      <c r="D153" s="25" t="s">
        <v>599</v>
      </c>
      <c r="E153" s="25" t="s">
        <v>1062</v>
      </c>
      <c r="F153" s="25" t="s">
        <v>953</v>
      </c>
      <c r="G153" s="25">
        <v>90.438799079999995</v>
      </c>
      <c r="H153" s="25">
        <v>90.023094689999994</v>
      </c>
      <c r="I153" s="25">
        <v>87.66743649</v>
      </c>
      <c r="J153" s="26">
        <v>5828.8984839130426</v>
      </c>
    </row>
    <row r="154" spans="1:10">
      <c r="A154" s="23" t="s">
        <v>955</v>
      </c>
      <c r="B154" s="24" t="s">
        <v>956</v>
      </c>
      <c r="C154" s="25" t="s">
        <v>952</v>
      </c>
      <c r="D154" s="25" t="s">
        <v>599</v>
      </c>
      <c r="E154" s="25" t="s">
        <v>1062</v>
      </c>
      <c r="F154" s="25" t="s">
        <v>953</v>
      </c>
      <c r="G154" s="25">
        <v>77.274826790000006</v>
      </c>
      <c r="H154" s="25">
        <v>87.852193999999997</v>
      </c>
      <c r="I154" s="25">
        <v>91.085450350000002</v>
      </c>
      <c r="J154" s="26">
        <v>5569.8363291304358</v>
      </c>
    </row>
    <row r="155" spans="1:10">
      <c r="A155" s="23" t="s">
        <v>1007</v>
      </c>
      <c r="B155" s="24" t="s">
        <v>1008</v>
      </c>
      <c r="C155" s="25" t="s">
        <v>962</v>
      </c>
      <c r="D155" s="25" t="s">
        <v>599</v>
      </c>
      <c r="E155" s="25" t="s">
        <v>1098</v>
      </c>
      <c r="F155" s="25" t="s">
        <v>953</v>
      </c>
      <c r="G155" s="25">
        <v>31.963048499999999</v>
      </c>
      <c r="H155" s="25">
        <v>48.175519629999997</v>
      </c>
      <c r="I155" s="25">
        <v>63.418013860000002</v>
      </c>
      <c r="J155" s="26">
        <v>3120.7952606521735</v>
      </c>
    </row>
    <row r="156" spans="1:10">
      <c r="A156" s="23" t="s">
        <v>967</v>
      </c>
      <c r="B156" s="24" t="s">
        <v>968</v>
      </c>
      <c r="C156" s="25" t="s">
        <v>962</v>
      </c>
      <c r="D156" s="25" t="s">
        <v>599</v>
      </c>
      <c r="E156" s="25" t="s">
        <v>1098</v>
      </c>
      <c r="F156" s="25" t="s">
        <v>953</v>
      </c>
      <c r="G156" s="25">
        <v>0.50808314099999996</v>
      </c>
      <c r="H156" s="25">
        <v>0.92378752900000005</v>
      </c>
      <c r="I156" s="25">
        <v>0.73903002299999998</v>
      </c>
      <c r="J156" s="26">
        <v>47.193493326086958</v>
      </c>
    </row>
    <row r="157" spans="1:10">
      <c r="A157" s="23" t="s">
        <v>979</v>
      </c>
      <c r="B157" s="24" t="s">
        <v>980</v>
      </c>
      <c r="C157" s="25" t="s">
        <v>962</v>
      </c>
      <c r="D157" s="25" t="s">
        <v>599</v>
      </c>
      <c r="E157" s="25" t="s">
        <v>1096</v>
      </c>
      <c r="F157" s="25" t="s">
        <v>953</v>
      </c>
      <c r="G157" s="25">
        <v>5.958429561</v>
      </c>
      <c r="H157" s="25">
        <v>15.288683600000001</v>
      </c>
      <c r="I157" s="25">
        <v>9.0531177829999994</v>
      </c>
      <c r="J157" s="26">
        <v>658.7006726956522</v>
      </c>
    </row>
    <row r="158" spans="1:10">
      <c r="A158" s="23" t="s">
        <v>337</v>
      </c>
      <c r="B158" s="24" t="s">
        <v>338</v>
      </c>
      <c r="C158" s="25" t="s">
        <v>331</v>
      </c>
      <c r="D158" s="25" t="s">
        <v>316</v>
      </c>
      <c r="E158" s="25" t="s">
        <v>1097</v>
      </c>
      <c r="F158" s="25" t="s">
        <v>317</v>
      </c>
      <c r="G158" s="25">
        <v>1.8475750580000001</v>
      </c>
      <c r="H158" s="25">
        <v>0.50808314099999996</v>
      </c>
      <c r="I158" s="25">
        <v>0.36951501199999998</v>
      </c>
      <c r="J158" s="26">
        <v>59.24289589130435</v>
      </c>
    </row>
    <row r="159" spans="1:10">
      <c r="A159" s="23" t="s">
        <v>328</v>
      </c>
      <c r="B159" s="24" t="s">
        <v>329</v>
      </c>
      <c r="C159" s="25" t="s">
        <v>331</v>
      </c>
      <c r="D159" s="25" t="s">
        <v>316</v>
      </c>
      <c r="E159" s="25" t="s">
        <v>1097</v>
      </c>
      <c r="F159" s="25" t="s">
        <v>317</v>
      </c>
      <c r="G159" s="25">
        <v>4.665127021</v>
      </c>
      <c r="H159" s="25">
        <v>10.715935330000001</v>
      </c>
      <c r="I159" s="25">
        <v>18.383371820000001</v>
      </c>
      <c r="J159" s="26">
        <v>734.0094385000001</v>
      </c>
    </row>
    <row r="160" spans="1:10">
      <c r="A160" s="23" t="s">
        <v>333</v>
      </c>
      <c r="B160" s="24" t="s">
        <v>334</v>
      </c>
      <c r="C160" s="25" t="s">
        <v>331</v>
      </c>
      <c r="D160" s="25" t="s">
        <v>316</v>
      </c>
      <c r="E160" s="25" t="s">
        <v>1098</v>
      </c>
      <c r="F160" s="25" t="s">
        <v>317</v>
      </c>
      <c r="G160" s="25">
        <v>26.050808310000001</v>
      </c>
      <c r="H160" s="25">
        <v>26.420323329999999</v>
      </c>
      <c r="I160" s="25">
        <v>21.66281755</v>
      </c>
      <c r="J160" s="26">
        <v>1611.6075910869565</v>
      </c>
    </row>
    <row r="161" spans="1:10">
      <c r="A161" s="23" t="s">
        <v>312</v>
      </c>
      <c r="B161" s="24" t="s">
        <v>313</v>
      </c>
      <c r="C161" s="25" t="s">
        <v>315</v>
      </c>
      <c r="D161" s="25" t="s">
        <v>316</v>
      </c>
      <c r="E161" s="25" t="s">
        <v>1098</v>
      </c>
      <c r="F161" s="25" t="s">
        <v>317</v>
      </c>
      <c r="G161" s="25">
        <v>31.732101620000002</v>
      </c>
      <c r="H161" s="25">
        <v>39.815242490000003</v>
      </c>
      <c r="I161" s="25">
        <v>41.33949192</v>
      </c>
      <c r="J161" s="26">
        <v>2454.0616528260871</v>
      </c>
    </row>
    <row r="162" spans="1:10">
      <c r="A162" s="23" t="s">
        <v>319</v>
      </c>
      <c r="B162" s="24" t="s">
        <v>320</v>
      </c>
      <c r="C162" s="25" t="s">
        <v>322</v>
      </c>
      <c r="D162" s="25" t="s">
        <v>316</v>
      </c>
      <c r="E162" s="25" t="s">
        <v>1095</v>
      </c>
      <c r="F162" s="25" t="s">
        <v>317</v>
      </c>
      <c r="G162" s="25">
        <v>0</v>
      </c>
      <c r="H162" s="25">
        <v>4.6189375999999997E-2</v>
      </c>
      <c r="I162" s="25">
        <v>4.6189375999999997E-2</v>
      </c>
      <c r="J162" s="26">
        <v>2.0082337391304348</v>
      </c>
    </row>
    <row r="163" spans="1:10">
      <c r="A163" s="23" t="s">
        <v>341</v>
      </c>
      <c r="B163" s="24" t="s">
        <v>342</v>
      </c>
      <c r="C163" s="25" t="s">
        <v>331</v>
      </c>
      <c r="D163" s="25" t="s">
        <v>316</v>
      </c>
      <c r="E163" s="25" t="s">
        <v>1098</v>
      </c>
      <c r="F163" s="25" t="s">
        <v>317</v>
      </c>
      <c r="G163" s="25">
        <v>0.41570438799999998</v>
      </c>
      <c r="H163" s="25">
        <v>0.23094688199999999</v>
      </c>
      <c r="I163" s="25">
        <v>4.6189375999999997E-2</v>
      </c>
      <c r="J163" s="26">
        <v>15.061753173913043</v>
      </c>
    </row>
    <row r="164" spans="1:10">
      <c r="A164" s="23" t="s">
        <v>324</v>
      </c>
      <c r="B164" s="24" t="s">
        <v>325</v>
      </c>
      <c r="C164" s="25" t="s">
        <v>322</v>
      </c>
      <c r="D164" s="25" t="s">
        <v>316</v>
      </c>
      <c r="E164" s="25" t="s">
        <v>1097</v>
      </c>
      <c r="F164" s="25" t="s">
        <v>317</v>
      </c>
      <c r="G164" s="25">
        <v>12.009237880000001</v>
      </c>
      <c r="H164" s="25">
        <v>10.115473440000001</v>
      </c>
      <c r="I164" s="25">
        <v>9.6535796769999997</v>
      </c>
      <c r="J164" s="26">
        <v>690.83241297826089</v>
      </c>
    </row>
    <row r="165" spans="1:10">
      <c r="A165" s="23" t="s">
        <v>345</v>
      </c>
      <c r="B165" s="24" t="s">
        <v>346</v>
      </c>
      <c r="C165" s="25" t="s">
        <v>331</v>
      </c>
      <c r="D165" s="25" t="s">
        <v>316</v>
      </c>
      <c r="E165" s="25" t="s">
        <v>1098</v>
      </c>
      <c r="F165" s="25" t="s">
        <v>317</v>
      </c>
      <c r="G165" s="25">
        <v>86.789838340000003</v>
      </c>
      <c r="H165" s="25">
        <v>88.175519629999997</v>
      </c>
      <c r="I165" s="25">
        <v>83.187066970000004</v>
      </c>
      <c r="J165" s="26">
        <v>5612.009237826087</v>
      </c>
    </row>
    <row r="166" spans="1:10">
      <c r="A166" s="23" t="s">
        <v>295</v>
      </c>
      <c r="B166" s="24" t="s">
        <v>296</v>
      </c>
      <c r="C166" s="25" t="s">
        <v>287</v>
      </c>
      <c r="D166" s="25" t="s">
        <v>288</v>
      </c>
      <c r="E166" s="25" t="s">
        <v>1095</v>
      </c>
      <c r="F166" s="25" t="s">
        <v>289</v>
      </c>
      <c r="G166" s="25">
        <v>3.9722863739999998</v>
      </c>
      <c r="H166" s="25">
        <v>0.55427251700000002</v>
      </c>
      <c r="I166" s="25">
        <v>7.6212471129999999</v>
      </c>
      <c r="J166" s="26">
        <v>264.08273921739129</v>
      </c>
    </row>
    <row r="167" spans="1:10">
      <c r="A167" s="23" t="s">
        <v>303</v>
      </c>
      <c r="B167" s="24" t="s">
        <v>304</v>
      </c>
      <c r="C167" s="25" t="s">
        <v>287</v>
      </c>
      <c r="D167" s="25" t="s">
        <v>288</v>
      </c>
      <c r="E167" s="25" t="s">
        <v>1096</v>
      </c>
      <c r="F167" s="25" t="s">
        <v>289</v>
      </c>
      <c r="G167" s="25">
        <v>60.877598149999997</v>
      </c>
      <c r="H167" s="25">
        <v>78.475750579999996</v>
      </c>
      <c r="I167" s="25">
        <v>61.939953809999999</v>
      </c>
      <c r="J167" s="26">
        <v>4375.9413595652168</v>
      </c>
    </row>
    <row r="168" spans="1:10">
      <c r="A168" s="23" t="s">
        <v>299</v>
      </c>
      <c r="B168" s="24" t="s">
        <v>300</v>
      </c>
      <c r="C168" s="25" t="s">
        <v>287</v>
      </c>
      <c r="D168" s="25" t="s">
        <v>288</v>
      </c>
      <c r="E168" s="25" t="s">
        <v>1096</v>
      </c>
      <c r="F168" s="25" t="s">
        <v>289</v>
      </c>
      <c r="G168" s="25">
        <v>62.03233256</v>
      </c>
      <c r="H168" s="25">
        <v>64.896073900000005</v>
      </c>
      <c r="I168" s="25">
        <v>56.397228640000002</v>
      </c>
      <c r="J168" s="26">
        <v>3985.3398934782608</v>
      </c>
    </row>
    <row r="169" spans="1:10">
      <c r="A169" s="23" t="s">
        <v>291</v>
      </c>
      <c r="B169" s="24" t="s">
        <v>292</v>
      </c>
      <c r="C169" s="25" t="s">
        <v>287</v>
      </c>
      <c r="D169" s="25" t="s">
        <v>288</v>
      </c>
      <c r="E169" s="25" t="s">
        <v>1095</v>
      </c>
      <c r="F169" s="25" t="s">
        <v>289</v>
      </c>
      <c r="G169" s="25">
        <v>2.6327944570000001</v>
      </c>
      <c r="H169" s="25">
        <v>1.154734411</v>
      </c>
      <c r="I169" s="25">
        <v>3.7875288679999999</v>
      </c>
      <c r="J169" s="26">
        <v>164.67516817391305</v>
      </c>
    </row>
    <row r="170" spans="1:10">
      <c r="A170" s="23" t="s">
        <v>284</v>
      </c>
      <c r="B170" s="24" t="s">
        <v>285</v>
      </c>
      <c r="C170" s="25" t="s">
        <v>287</v>
      </c>
      <c r="D170" s="25" t="s">
        <v>288</v>
      </c>
      <c r="E170" s="25" t="s">
        <v>1096</v>
      </c>
      <c r="F170" s="25" t="s">
        <v>289</v>
      </c>
      <c r="G170" s="25">
        <v>11.31639723</v>
      </c>
      <c r="H170" s="25">
        <v>19.815242489999999</v>
      </c>
      <c r="I170" s="25">
        <v>28.914549650000001</v>
      </c>
      <c r="J170" s="26">
        <v>1305.351942826087</v>
      </c>
    </row>
    <row r="171" spans="1:10">
      <c r="A171" s="23" t="s">
        <v>840</v>
      </c>
      <c r="B171" s="24" t="s">
        <v>841</v>
      </c>
      <c r="C171" s="25" t="s">
        <v>843</v>
      </c>
      <c r="D171" s="25" t="s">
        <v>599</v>
      </c>
      <c r="E171" s="25" t="s">
        <v>1062</v>
      </c>
      <c r="F171" s="25" t="s">
        <v>844</v>
      </c>
      <c r="G171" s="25">
        <v>1.29330254</v>
      </c>
      <c r="H171" s="25">
        <v>3.7875288679999999</v>
      </c>
      <c r="I171" s="25">
        <v>7.4826789839999996</v>
      </c>
      <c r="J171" s="26">
        <v>273.11979113043475</v>
      </c>
    </row>
    <row r="172" spans="1:10">
      <c r="A172" s="23" t="s">
        <v>389</v>
      </c>
      <c r="B172" s="24" t="s">
        <v>390</v>
      </c>
      <c r="C172" s="25" t="s">
        <v>351</v>
      </c>
      <c r="D172" s="25" t="s">
        <v>316</v>
      </c>
      <c r="E172" s="25" t="s">
        <v>1095</v>
      </c>
      <c r="F172" s="25" t="s">
        <v>352</v>
      </c>
      <c r="G172" s="25">
        <v>0.83140877599999996</v>
      </c>
      <c r="H172" s="25">
        <v>0.18475750599999999</v>
      </c>
      <c r="I172" s="25">
        <v>9.2378752999999994E-2</v>
      </c>
      <c r="J172" s="26">
        <v>24.09880510869565</v>
      </c>
    </row>
    <row r="173" spans="1:10">
      <c r="A173" s="23" t="s">
        <v>393</v>
      </c>
      <c r="B173" s="24" t="s">
        <v>394</v>
      </c>
      <c r="C173" s="25" t="s">
        <v>351</v>
      </c>
      <c r="D173" s="25" t="s">
        <v>316</v>
      </c>
      <c r="E173" s="25" t="s">
        <v>1098</v>
      </c>
      <c r="F173" s="25" t="s">
        <v>352</v>
      </c>
      <c r="G173" s="25">
        <v>0.46189376399999998</v>
      </c>
      <c r="H173" s="25">
        <v>0.46189376399999998</v>
      </c>
      <c r="I173" s="25">
        <v>0.13856812900000001</v>
      </c>
      <c r="J173" s="26">
        <v>23.094688195652171</v>
      </c>
    </row>
    <row r="174" spans="1:10">
      <c r="A174" s="23" t="s">
        <v>349</v>
      </c>
      <c r="B174" s="24" t="s">
        <v>350</v>
      </c>
      <c r="C174" s="25" t="s">
        <v>351</v>
      </c>
      <c r="D174" s="25" t="s">
        <v>316</v>
      </c>
      <c r="E174" s="25" t="s">
        <v>1095</v>
      </c>
      <c r="F174" s="25" t="s">
        <v>352</v>
      </c>
      <c r="G174" s="25">
        <v>6.9284064670000003</v>
      </c>
      <c r="H174" s="25">
        <v>3.5565819859999999</v>
      </c>
      <c r="I174" s="25">
        <v>0.969976905</v>
      </c>
      <c r="J174" s="26">
        <v>249.02098604347825</v>
      </c>
    </row>
    <row r="175" spans="1:10">
      <c r="A175" s="23" t="s">
        <v>354</v>
      </c>
      <c r="B175" s="24" t="s">
        <v>355</v>
      </c>
      <c r="C175" s="25" t="s">
        <v>351</v>
      </c>
      <c r="D175" s="25" t="s">
        <v>316</v>
      </c>
      <c r="E175" s="25" t="s">
        <v>1095</v>
      </c>
      <c r="F175" s="25" t="s">
        <v>352</v>
      </c>
      <c r="G175" s="25">
        <v>5.958429561</v>
      </c>
      <c r="H175" s="25">
        <v>2.0785219399999999</v>
      </c>
      <c r="I175" s="25">
        <v>0.60046189400000005</v>
      </c>
      <c r="J175" s="26">
        <v>187.7698564130435</v>
      </c>
    </row>
    <row r="176" spans="1:10">
      <c r="A176" s="23" t="s">
        <v>361</v>
      </c>
      <c r="B176" s="24" t="s">
        <v>362</v>
      </c>
      <c r="C176" s="25" t="s">
        <v>351</v>
      </c>
      <c r="D176" s="25" t="s">
        <v>316</v>
      </c>
      <c r="E176" s="25" t="s">
        <v>1098</v>
      </c>
      <c r="F176" s="25" t="s">
        <v>352</v>
      </c>
      <c r="G176" s="25">
        <v>44.203233259999998</v>
      </c>
      <c r="H176" s="25">
        <v>31.870669750000001</v>
      </c>
      <c r="I176" s="25">
        <v>24.203233260000001</v>
      </c>
      <c r="J176" s="26">
        <v>2179.9377450000002</v>
      </c>
    </row>
    <row r="177" spans="1:10">
      <c r="A177" s="23" t="s">
        <v>369</v>
      </c>
      <c r="B177" s="24" t="s">
        <v>370</v>
      </c>
      <c r="C177" s="25" t="s">
        <v>351</v>
      </c>
      <c r="D177" s="25" t="s">
        <v>316</v>
      </c>
      <c r="E177" s="25" t="s">
        <v>1095</v>
      </c>
      <c r="F177" s="25" t="s">
        <v>352</v>
      </c>
      <c r="G177" s="25">
        <v>3.833718245</v>
      </c>
      <c r="H177" s="25">
        <v>2.4942263279999999</v>
      </c>
      <c r="I177" s="25">
        <v>1.9399538110000001</v>
      </c>
      <c r="J177" s="26">
        <v>179.73692139130435</v>
      </c>
    </row>
    <row r="178" spans="1:10">
      <c r="A178" s="23" t="s">
        <v>373</v>
      </c>
      <c r="B178" s="24" t="s">
        <v>374</v>
      </c>
      <c r="C178" s="25" t="s">
        <v>351</v>
      </c>
      <c r="D178" s="25" t="s">
        <v>316</v>
      </c>
      <c r="E178" s="25" t="s">
        <v>1098</v>
      </c>
      <c r="F178" s="25" t="s">
        <v>352</v>
      </c>
      <c r="G178" s="25">
        <v>6.6974595839999997</v>
      </c>
      <c r="H178" s="25">
        <v>6.0046189380000001</v>
      </c>
      <c r="I178" s="25">
        <v>5.2193995380000002</v>
      </c>
      <c r="J178" s="26">
        <v>389.59734913043485</v>
      </c>
    </row>
    <row r="179" spans="1:10">
      <c r="A179" s="23" t="s">
        <v>365</v>
      </c>
      <c r="B179" s="24" t="s">
        <v>366</v>
      </c>
      <c r="C179" s="25" t="s">
        <v>351</v>
      </c>
      <c r="D179" s="25" t="s">
        <v>316</v>
      </c>
      <c r="E179" s="25" t="s">
        <v>1096</v>
      </c>
      <c r="F179" s="25" t="s">
        <v>352</v>
      </c>
      <c r="G179" s="25">
        <v>10.57736721</v>
      </c>
      <c r="H179" s="25">
        <v>16.581986140000001</v>
      </c>
      <c r="I179" s="25">
        <v>14.91916859</v>
      </c>
      <c r="J179" s="26">
        <v>914.75047695652177</v>
      </c>
    </row>
    <row r="180" spans="1:10">
      <c r="A180" s="23" t="s">
        <v>385</v>
      </c>
      <c r="B180" s="24" t="s">
        <v>386</v>
      </c>
      <c r="C180" s="25" t="s">
        <v>351</v>
      </c>
      <c r="D180" s="25" t="s">
        <v>316</v>
      </c>
      <c r="E180" s="25" t="s">
        <v>1095</v>
      </c>
      <c r="F180" s="25" t="s">
        <v>352</v>
      </c>
      <c r="G180" s="25">
        <v>3.0484988450000001</v>
      </c>
      <c r="H180" s="25">
        <v>1.29330254</v>
      </c>
      <c r="I180" s="25">
        <v>0.87759815200000002</v>
      </c>
      <c r="J180" s="26">
        <v>113.46520732608697</v>
      </c>
    </row>
    <row r="181" spans="1:10">
      <c r="A181" s="23" t="s">
        <v>381</v>
      </c>
      <c r="B181" s="24" t="s">
        <v>382</v>
      </c>
      <c r="C181" s="25" t="s">
        <v>351</v>
      </c>
      <c r="D181" s="25" t="s">
        <v>316</v>
      </c>
      <c r="E181" s="25" t="s">
        <v>1097</v>
      </c>
      <c r="F181" s="25" t="s">
        <v>352</v>
      </c>
      <c r="G181" s="25">
        <v>1.2471131639999999</v>
      </c>
      <c r="H181" s="25">
        <v>1.7551963049999999</v>
      </c>
      <c r="I181" s="25">
        <v>1.4318706699999999</v>
      </c>
      <c r="J181" s="26">
        <v>96.395220413043489</v>
      </c>
    </row>
    <row r="182" spans="1:10">
      <c r="A182" s="23" t="s">
        <v>377</v>
      </c>
      <c r="B182" s="24" t="s">
        <v>378</v>
      </c>
      <c r="C182" s="25" t="s">
        <v>351</v>
      </c>
      <c r="D182" s="25" t="s">
        <v>316</v>
      </c>
      <c r="E182" s="25" t="s">
        <v>1098</v>
      </c>
      <c r="F182" s="25" t="s">
        <v>352</v>
      </c>
      <c r="G182" s="25">
        <v>34.3187067</v>
      </c>
      <c r="H182" s="25">
        <v>30.16166282</v>
      </c>
      <c r="I182" s="25">
        <v>25.311778289999999</v>
      </c>
      <c r="J182" s="26">
        <v>1952.0032132608694</v>
      </c>
    </row>
    <row r="183" spans="1:10">
      <c r="A183" s="23" t="s">
        <v>901</v>
      </c>
      <c r="B183" s="24" t="s">
        <v>902</v>
      </c>
      <c r="C183" s="25" t="s">
        <v>904</v>
      </c>
      <c r="D183" s="25" t="s">
        <v>599</v>
      </c>
      <c r="E183" s="25" t="s">
        <v>1095</v>
      </c>
      <c r="F183" s="25" t="s">
        <v>905</v>
      </c>
      <c r="G183" s="25">
        <v>23.464203229999999</v>
      </c>
      <c r="H183" s="25">
        <v>27.759815239999998</v>
      </c>
      <c r="I183" s="25">
        <v>33.903002309999998</v>
      </c>
      <c r="J183" s="26">
        <v>1850.5874082608696</v>
      </c>
    </row>
    <row r="184" spans="1:10">
      <c r="A184" s="23" t="s">
        <v>907</v>
      </c>
      <c r="B184" s="24" t="s">
        <v>908</v>
      </c>
      <c r="C184" s="25" t="s">
        <v>904</v>
      </c>
      <c r="D184" s="25" t="s">
        <v>599</v>
      </c>
      <c r="E184" s="25" t="s">
        <v>1062</v>
      </c>
      <c r="F184" s="25" t="s">
        <v>905</v>
      </c>
      <c r="G184" s="25">
        <v>1.062355658</v>
      </c>
      <c r="H184" s="25">
        <v>0.83140877599999996</v>
      </c>
      <c r="I184" s="25">
        <v>0.277136259</v>
      </c>
      <c r="J184" s="26">
        <v>47.193493326086958</v>
      </c>
    </row>
    <row r="185" spans="1:10">
      <c r="A185" s="23" t="s">
        <v>943</v>
      </c>
      <c r="B185" s="24" t="s">
        <v>944</v>
      </c>
      <c r="C185" s="25" t="s">
        <v>946</v>
      </c>
      <c r="D185" s="25" t="s">
        <v>599</v>
      </c>
      <c r="E185" s="25" t="s">
        <v>1098</v>
      </c>
      <c r="F185" s="25" t="s">
        <v>947</v>
      </c>
      <c r="G185" s="25">
        <v>90.99307159</v>
      </c>
      <c r="H185" s="25">
        <v>93.579676669999998</v>
      </c>
      <c r="I185" s="25">
        <v>90.715935329999994</v>
      </c>
      <c r="J185" s="26">
        <v>5984.5365997826093</v>
      </c>
    </row>
    <row r="186" spans="1:10">
      <c r="A186" s="23" t="s">
        <v>460</v>
      </c>
      <c r="B186" s="24" t="s">
        <v>461</v>
      </c>
      <c r="C186" s="25" t="s">
        <v>400</v>
      </c>
      <c r="D186" s="25" t="s">
        <v>316</v>
      </c>
      <c r="E186" s="25" t="s">
        <v>1095</v>
      </c>
      <c r="F186" s="25" t="s">
        <v>434</v>
      </c>
      <c r="G186" s="25">
        <v>0</v>
      </c>
      <c r="H186" s="25">
        <v>0</v>
      </c>
      <c r="I186" s="25">
        <v>0.13856812900000001</v>
      </c>
      <c r="J186" s="26">
        <v>3.0123506304347831</v>
      </c>
    </row>
    <row r="187" spans="1:10">
      <c r="A187" s="23" t="s">
        <v>456</v>
      </c>
      <c r="B187" s="24" t="s">
        <v>457</v>
      </c>
      <c r="C187" s="25" t="s">
        <v>400</v>
      </c>
      <c r="D187" s="25" t="s">
        <v>316</v>
      </c>
      <c r="E187" s="25" t="s">
        <v>1095</v>
      </c>
      <c r="F187" s="25" t="s">
        <v>434</v>
      </c>
      <c r="G187" s="25">
        <v>1.709006928</v>
      </c>
      <c r="H187" s="25">
        <v>0.60046189400000005</v>
      </c>
      <c r="I187" s="25">
        <v>0.23094688199999999</v>
      </c>
      <c r="J187" s="26">
        <v>55.226428347826086</v>
      </c>
    </row>
    <row r="188" spans="1:10">
      <c r="A188" s="23" t="s">
        <v>431</v>
      </c>
      <c r="B188" s="24" t="s">
        <v>432</v>
      </c>
      <c r="C188" s="25" t="s">
        <v>400</v>
      </c>
      <c r="D188" s="25" t="s">
        <v>316</v>
      </c>
      <c r="E188" s="25" t="s">
        <v>1095</v>
      </c>
      <c r="F188" s="25" t="s">
        <v>434</v>
      </c>
      <c r="G188" s="25">
        <v>0.50808314099999996</v>
      </c>
      <c r="H188" s="25">
        <v>0.23094688199999999</v>
      </c>
      <c r="I188" s="25">
        <v>4.6189375999999997E-2</v>
      </c>
      <c r="J188" s="26">
        <v>17.069986934782609</v>
      </c>
    </row>
    <row r="189" spans="1:10">
      <c r="A189" s="23" t="s">
        <v>436</v>
      </c>
      <c r="B189" s="24" t="s">
        <v>437</v>
      </c>
      <c r="C189" s="25" t="s">
        <v>400</v>
      </c>
      <c r="D189" s="25" t="s">
        <v>316</v>
      </c>
      <c r="E189" s="25" t="s">
        <v>1095</v>
      </c>
      <c r="F189" s="25" t="s">
        <v>434</v>
      </c>
      <c r="G189" s="25">
        <v>0</v>
      </c>
      <c r="H189" s="25">
        <v>0</v>
      </c>
      <c r="I189" s="25">
        <v>0.46189376399999998</v>
      </c>
      <c r="J189" s="26">
        <v>10.041168782608695</v>
      </c>
    </row>
    <row r="190" spans="1:10">
      <c r="A190" s="23" t="s">
        <v>444</v>
      </c>
      <c r="B190" s="24" t="s">
        <v>445</v>
      </c>
      <c r="C190" s="25" t="s">
        <v>400</v>
      </c>
      <c r="D190" s="25" t="s">
        <v>316</v>
      </c>
      <c r="E190" s="25" t="s">
        <v>1095</v>
      </c>
      <c r="F190" s="25" t="s">
        <v>434</v>
      </c>
      <c r="G190" s="25">
        <v>7.3903002310000003</v>
      </c>
      <c r="H190" s="25">
        <v>4.8960739029999996</v>
      </c>
      <c r="I190" s="25">
        <v>5.8198614319999997</v>
      </c>
      <c r="J190" s="26">
        <v>393.61381665217391</v>
      </c>
    </row>
    <row r="191" spans="1:10">
      <c r="A191" s="23" t="s">
        <v>448</v>
      </c>
      <c r="B191" s="24" t="s">
        <v>449</v>
      </c>
      <c r="C191" s="25" t="s">
        <v>400</v>
      </c>
      <c r="D191" s="25" t="s">
        <v>316</v>
      </c>
      <c r="E191" s="25" t="s">
        <v>1095</v>
      </c>
      <c r="F191" s="25" t="s">
        <v>434</v>
      </c>
      <c r="G191" s="25">
        <v>10.531177830000001</v>
      </c>
      <c r="H191" s="25">
        <v>9.5612009239999995</v>
      </c>
      <c r="I191" s="25">
        <v>7.4826789839999996</v>
      </c>
      <c r="J191" s="26">
        <v>599.45777691304352</v>
      </c>
    </row>
    <row r="192" spans="1:10">
      <c r="A192" s="23" t="s">
        <v>452</v>
      </c>
      <c r="B192" s="24" t="s">
        <v>453</v>
      </c>
      <c r="C192" s="25" t="s">
        <v>400</v>
      </c>
      <c r="D192" s="25" t="s">
        <v>316</v>
      </c>
      <c r="E192" s="25" t="s">
        <v>1095</v>
      </c>
      <c r="F192" s="25" t="s">
        <v>434</v>
      </c>
      <c r="G192" s="25">
        <v>7.9907621249999998</v>
      </c>
      <c r="H192" s="25">
        <v>3.6951501150000001</v>
      </c>
      <c r="I192" s="25">
        <v>3.418013857</v>
      </c>
      <c r="J192" s="26">
        <v>328.34621950000002</v>
      </c>
    </row>
    <row r="193" spans="1:10">
      <c r="A193" s="23" t="s">
        <v>440</v>
      </c>
      <c r="B193" s="24" t="s">
        <v>441</v>
      </c>
      <c r="C193" s="25" t="s">
        <v>400</v>
      </c>
      <c r="D193" s="25" t="s">
        <v>316</v>
      </c>
      <c r="E193" s="25" t="s">
        <v>1097</v>
      </c>
      <c r="F193" s="25" t="s">
        <v>434</v>
      </c>
      <c r="G193" s="25">
        <v>2.3094688219999999</v>
      </c>
      <c r="H193" s="25">
        <v>1.3394919169999999</v>
      </c>
      <c r="I193" s="25">
        <v>0.87759815200000002</v>
      </c>
      <c r="J193" s="26">
        <v>98.403454152173907</v>
      </c>
    </row>
    <row r="194" spans="1:10">
      <c r="A194" s="23" t="s">
        <v>728</v>
      </c>
      <c r="B194" s="24" t="s">
        <v>729</v>
      </c>
      <c r="C194" s="25" t="s">
        <v>714</v>
      </c>
      <c r="D194" s="25" t="s">
        <v>599</v>
      </c>
      <c r="E194" s="25" t="s">
        <v>1098</v>
      </c>
      <c r="F194" s="25" t="s">
        <v>719</v>
      </c>
      <c r="G194" s="25">
        <v>0.83140877599999996</v>
      </c>
      <c r="H194" s="25">
        <v>9.2378752999999994E-2</v>
      </c>
      <c r="I194" s="25">
        <v>9.2378752999999994E-2</v>
      </c>
      <c r="J194" s="26">
        <v>22.090571347826085</v>
      </c>
    </row>
    <row r="195" spans="1:10">
      <c r="A195" s="23" t="s">
        <v>716</v>
      </c>
      <c r="B195" s="24" t="s">
        <v>717</v>
      </c>
      <c r="C195" s="25" t="s">
        <v>714</v>
      </c>
      <c r="D195" s="25" t="s">
        <v>599</v>
      </c>
      <c r="E195" s="25" t="s">
        <v>1062</v>
      </c>
      <c r="F195" s="25" t="s">
        <v>719</v>
      </c>
      <c r="G195" s="25">
        <v>94.919168589999998</v>
      </c>
      <c r="H195" s="25">
        <v>97.413394920000002</v>
      </c>
      <c r="I195" s="25">
        <v>98.013856809999993</v>
      </c>
      <c r="J195" s="26">
        <v>6311.8787026086957</v>
      </c>
    </row>
    <row r="196" spans="1:10">
      <c r="A196" s="23" t="s">
        <v>724</v>
      </c>
      <c r="B196" s="24" t="s">
        <v>725</v>
      </c>
      <c r="C196" s="25" t="s">
        <v>714</v>
      </c>
      <c r="D196" s="25" t="s">
        <v>599</v>
      </c>
      <c r="E196" s="25" t="s">
        <v>1098</v>
      </c>
      <c r="F196" s="25" t="s">
        <v>719</v>
      </c>
      <c r="G196" s="25">
        <v>85.357967669999994</v>
      </c>
      <c r="H196" s="25">
        <v>88.591224019999999</v>
      </c>
      <c r="I196" s="25">
        <v>93.487297920000003</v>
      </c>
      <c r="J196" s="26">
        <v>5813.8367306521732</v>
      </c>
    </row>
    <row r="197" spans="1:10">
      <c r="A197" s="23" t="s">
        <v>721</v>
      </c>
      <c r="B197" s="24" t="s">
        <v>722</v>
      </c>
      <c r="C197" s="25" t="s">
        <v>714</v>
      </c>
      <c r="D197" s="25" t="s">
        <v>599</v>
      </c>
      <c r="E197" s="25" t="s">
        <v>1098</v>
      </c>
      <c r="F197" s="25" t="s">
        <v>719</v>
      </c>
      <c r="G197" s="25">
        <v>3.2332563510000001</v>
      </c>
      <c r="H197" s="25">
        <v>18.01385681</v>
      </c>
      <c r="I197" s="25">
        <v>9.8845265589999993</v>
      </c>
      <c r="J197" s="26">
        <v>676.77477652173923</v>
      </c>
    </row>
    <row r="198" spans="1:10">
      <c r="A198" s="23" t="s">
        <v>711</v>
      </c>
      <c r="B198" s="24" t="s">
        <v>712</v>
      </c>
      <c r="C198" s="25" t="s">
        <v>714</v>
      </c>
      <c r="D198" s="25" t="s">
        <v>599</v>
      </c>
      <c r="E198" s="25" t="s">
        <v>1102</v>
      </c>
      <c r="F198" s="25" t="s">
        <v>719</v>
      </c>
      <c r="G198" s="25">
        <v>0</v>
      </c>
      <c r="H198" s="25">
        <v>4.6189375999999997E-2</v>
      </c>
      <c r="I198" s="25">
        <v>0</v>
      </c>
      <c r="J198" s="26">
        <v>1.0041168695652174</v>
      </c>
    </row>
    <row r="199" spans="1:10">
      <c r="A199" s="23" t="s">
        <v>732</v>
      </c>
      <c r="B199" s="24" t="s">
        <v>733</v>
      </c>
      <c r="C199" s="25" t="s">
        <v>714</v>
      </c>
      <c r="D199" s="25" t="s">
        <v>599</v>
      </c>
      <c r="E199" s="25" t="s">
        <v>1098</v>
      </c>
      <c r="F199" s="25" t="s">
        <v>719</v>
      </c>
      <c r="G199" s="25">
        <v>20.96997691</v>
      </c>
      <c r="H199" s="25">
        <v>47.02078522</v>
      </c>
      <c r="I199" s="25">
        <v>48.68360277</v>
      </c>
      <c r="J199" s="26">
        <v>2536.3992369565217</v>
      </c>
    </row>
    <row r="200" spans="1:10">
      <c r="A200" s="23" t="s">
        <v>846</v>
      </c>
      <c r="B200" s="24" t="s">
        <v>847</v>
      </c>
      <c r="C200" s="25" t="s">
        <v>849</v>
      </c>
      <c r="D200" s="25" t="s">
        <v>599</v>
      </c>
      <c r="E200" s="25" t="s">
        <v>1062</v>
      </c>
      <c r="F200" s="25" t="s">
        <v>817</v>
      </c>
      <c r="G200" s="25">
        <v>21.108545029999998</v>
      </c>
      <c r="H200" s="25">
        <v>27.990762119999999</v>
      </c>
      <c r="I200" s="25">
        <v>37.228637409999997</v>
      </c>
      <c r="J200" s="26">
        <v>1876.6944469565217</v>
      </c>
    </row>
    <row r="201" spans="1:10">
      <c r="A201" s="23" t="s">
        <v>886</v>
      </c>
      <c r="B201" s="24" t="s">
        <v>887</v>
      </c>
      <c r="C201" s="25" t="s">
        <v>884</v>
      </c>
      <c r="D201" s="25" t="s">
        <v>599</v>
      </c>
      <c r="E201" s="25" t="s">
        <v>1062</v>
      </c>
      <c r="F201" s="25" t="s">
        <v>817</v>
      </c>
      <c r="G201" s="25">
        <v>1.478060046</v>
      </c>
      <c r="H201" s="25">
        <v>9.5150115470000003</v>
      </c>
      <c r="I201" s="25">
        <v>23.64896074</v>
      </c>
      <c r="J201" s="26">
        <v>753.08765941304353</v>
      </c>
    </row>
    <row r="202" spans="1:10">
      <c r="A202" s="23" t="s">
        <v>881</v>
      </c>
      <c r="B202" s="24" t="s">
        <v>882</v>
      </c>
      <c r="C202" s="25" t="s">
        <v>884</v>
      </c>
      <c r="D202" s="25" t="s">
        <v>599</v>
      </c>
      <c r="E202" s="25" t="s">
        <v>1062</v>
      </c>
      <c r="F202" s="25" t="s">
        <v>817</v>
      </c>
      <c r="G202" s="25">
        <v>25.311778289999999</v>
      </c>
      <c r="H202" s="25">
        <v>41.524249419999997</v>
      </c>
      <c r="I202" s="25">
        <v>48.591224019999999</v>
      </c>
      <c r="J202" s="26">
        <v>2509.2880810869565</v>
      </c>
    </row>
    <row r="203" spans="1:10">
      <c r="A203" s="23" t="s">
        <v>868</v>
      </c>
      <c r="B203" s="24" t="s">
        <v>869</v>
      </c>
      <c r="C203" s="25" t="s">
        <v>854</v>
      </c>
      <c r="D203" s="25" t="s">
        <v>599</v>
      </c>
      <c r="E203" s="25" t="s">
        <v>1062</v>
      </c>
      <c r="F203" s="25" t="s">
        <v>817</v>
      </c>
      <c r="G203" s="25">
        <v>77.875288679999997</v>
      </c>
      <c r="H203" s="25">
        <v>89.838337179999996</v>
      </c>
      <c r="I203" s="25">
        <v>93.67205543</v>
      </c>
      <c r="J203" s="26">
        <v>5682.2974193478258</v>
      </c>
    </row>
    <row r="204" spans="1:10">
      <c r="A204" s="23" t="s">
        <v>860</v>
      </c>
      <c r="B204" s="24" t="s">
        <v>861</v>
      </c>
      <c r="C204" s="25" t="s">
        <v>854</v>
      </c>
      <c r="D204" s="25" t="s">
        <v>599</v>
      </c>
      <c r="E204" s="25" t="s">
        <v>1062</v>
      </c>
      <c r="F204" s="25" t="s">
        <v>817</v>
      </c>
      <c r="G204" s="25">
        <v>34.457274830000003</v>
      </c>
      <c r="H204" s="25">
        <v>39.722863740000001</v>
      </c>
      <c r="I204" s="25">
        <v>39.630484989999999</v>
      </c>
      <c r="J204" s="26">
        <v>2474.1439904347826</v>
      </c>
    </row>
    <row r="205" spans="1:10">
      <c r="A205" s="23" t="s">
        <v>872</v>
      </c>
      <c r="B205" s="24" t="s">
        <v>873</v>
      </c>
      <c r="C205" s="25" t="s">
        <v>854</v>
      </c>
      <c r="D205" s="25" t="s">
        <v>599</v>
      </c>
      <c r="E205" s="25" t="s">
        <v>1096</v>
      </c>
      <c r="F205" s="25" t="s">
        <v>817</v>
      </c>
      <c r="G205" s="25">
        <v>90.531177830000004</v>
      </c>
      <c r="H205" s="25">
        <v>95.33487298</v>
      </c>
      <c r="I205" s="25">
        <v>96.628175519999999</v>
      </c>
      <c r="J205" s="26">
        <v>6141.1788332608694</v>
      </c>
    </row>
    <row r="206" spans="1:10">
      <c r="A206" s="23" t="s">
        <v>864</v>
      </c>
      <c r="B206" s="24" t="s">
        <v>865</v>
      </c>
      <c r="C206" s="25" t="s">
        <v>854</v>
      </c>
      <c r="D206" s="25" t="s">
        <v>599</v>
      </c>
      <c r="E206" s="25" t="s">
        <v>1062</v>
      </c>
      <c r="F206" s="25" t="s">
        <v>817</v>
      </c>
      <c r="G206" s="25">
        <v>58.383371820000001</v>
      </c>
      <c r="H206" s="25">
        <v>67.898383370000005</v>
      </c>
      <c r="I206" s="25">
        <v>73.579676669999998</v>
      </c>
      <c r="J206" s="26">
        <v>4344.8137360869569</v>
      </c>
    </row>
    <row r="207" spans="1:10">
      <c r="A207" s="23" t="s">
        <v>856</v>
      </c>
      <c r="B207" s="24" t="s">
        <v>857</v>
      </c>
      <c r="C207" s="25" t="s">
        <v>854</v>
      </c>
      <c r="D207" s="25" t="s">
        <v>599</v>
      </c>
      <c r="E207" s="25" t="s">
        <v>1062</v>
      </c>
      <c r="F207" s="25" t="s">
        <v>817</v>
      </c>
      <c r="G207" s="25">
        <v>0</v>
      </c>
      <c r="H207" s="25">
        <v>1.7551963049999999</v>
      </c>
      <c r="I207" s="25">
        <v>5.1732101620000002</v>
      </c>
      <c r="J207" s="26">
        <v>150.61753189130437</v>
      </c>
    </row>
    <row r="208" spans="1:10">
      <c r="A208" s="23" t="s">
        <v>851</v>
      </c>
      <c r="B208" s="24" t="s">
        <v>852</v>
      </c>
      <c r="C208" s="25" t="s">
        <v>854</v>
      </c>
      <c r="D208" s="25" t="s">
        <v>599</v>
      </c>
      <c r="E208" s="25" t="s">
        <v>1062</v>
      </c>
      <c r="F208" s="25" t="s">
        <v>817</v>
      </c>
      <c r="G208" s="25">
        <v>43.695150120000001</v>
      </c>
      <c r="H208" s="25">
        <v>50.115473440000002</v>
      </c>
      <c r="I208" s="25">
        <v>63.972286369999999</v>
      </c>
      <c r="J208" s="26">
        <v>3430.0632593478267</v>
      </c>
    </row>
    <row r="209" spans="1:10">
      <c r="A209" s="23" t="s">
        <v>819</v>
      </c>
      <c r="B209" s="24" t="s">
        <v>820</v>
      </c>
      <c r="C209" s="25" t="s">
        <v>816</v>
      </c>
      <c r="D209" s="25" t="s">
        <v>599</v>
      </c>
      <c r="E209" s="25" t="s">
        <v>1098</v>
      </c>
      <c r="F209" s="25" t="s">
        <v>817</v>
      </c>
      <c r="G209" s="25">
        <v>2.0785219399999999</v>
      </c>
      <c r="H209" s="25">
        <v>1.2471131639999999</v>
      </c>
      <c r="I209" s="25">
        <v>7.7136258660000001</v>
      </c>
      <c r="J209" s="26">
        <v>239.98393413043482</v>
      </c>
    </row>
    <row r="210" spans="1:10">
      <c r="A210" s="23" t="s">
        <v>814</v>
      </c>
      <c r="B210" s="24" t="s">
        <v>815</v>
      </c>
      <c r="C210" s="25" t="s">
        <v>816</v>
      </c>
      <c r="D210" s="25" t="s">
        <v>599</v>
      </c>
      <c r="E210" s="25" t="s">
        <v>1098</v>
      </c>
      <c r="F210" s="25" t="s">
        <v>817</v>
      </c>
      <c r="G210" s="25">
        <v>64.249422629999998</v>
      </c>
      <c r="H210" s="25">
        <v>70.66974596</v>
      </c>
      <c r="I210" s="25">
        <v>66.836027709999996</v>
      </c>
      <c r="J210" s="26">
        <v>4385.9825282608699</v>
      </c>
    </row>
    <row r="211" spans="1:10">
      <c r="A211" s="23" t="s">
        <v>890</v>
      </c>
      <c r="B211" s="24" t="s">
        <v>891</v>
      </c>
      <c r="C211" s="25" t="s">
        <v>893</v>
      </c>
      <c r="D211" s="25" t="s">
        <v>599</v>
      </c>
      <c r="E211" s="25" t="s">
        <v>1098</v>
      </c>
      <c r="F211" s="25" t="s">
        <v>817</v>
      </c>
      <c r="G211" s="25">
        <v>0.50808314099999996</v>
      </c>
      <c r="H211" s="25">
        <v>4.2032332559999999</v>
      </c>
      <c r="I211" s="25">
        <v>1.3394919169999999</v>
      </c>
      <c r="J211" s="26">
        <v>131.53931117391306</v>
      </c>
    </row>
    <row r="212" spans="1:10">
      <c r="A212" s="23" t="s">
        <v>876</v>
      </c>
      <c r="B212" s="24" t="s">
        <v>877</v>
      </c>
      <c r="C212" s="25" t="s">
        <v>879</v>
      </c>
      <c r="D212" s="25" t="s">
        <v>599</v>
      </c>
      <c r="E212" s="25" t="s">
        <v>1062</v>
      </c>
      <c r="F212" s="25" t="s">
        <v>817</v>
      </c>
      <c r="G212" s="25">
        <v>34.087759820000002</v>
      </c>
      <c r="H212" s="25">
        <v>44.249422629999998</v>
      </c>
      <c r="I212" s="25">
        <v>68.960739029999999</v>
      </c>
      <c r="J212" s="26">
        <v>3202.1287278260875</v>
      </c>
    </row>
    <row r="213" spans="1:10">
      <c r="A213" s="23" t="s">
        <v>81</v>
      </c>
      <c r="B213" s="24" t="s">
        <v>82</v>
      </c>
      <c r="C213" s="25" t="s">
        <v>78</v>
      </c>
      <c r="D213" s="25" t="s">
        <v>79</v>
      </c>
      <c r="E213" s="25" t="s">
        <v>1095</v>
      </c>
      <c r="F213" s="25" t="s">
        <v>64</v>
      </c>
      <c r="G213" s="25">
        <v>2.9099307159999999</v>
      </c>
      <c r="H213" s="25">
        <v>0.36951501199999998</v>
      </c>
      <c r="I213" s="25">
        <v>0.13856812900000001</v>
      </c>
      <c r="J213" s="26">
        <v>74.30464906521739</v>
      </c>
    </row>
    <row r="214" spans="1:10">
      <c r="A214" s="23" t="s">
        <v>75</v>
      </c>
      <c r="B214" s="24" t="s">
        <v>76</v>
      </c>
      <c r="C214" s="25" t="s">
        <v>78</v>
      </c>
      <c r="D214" s="25" t="s">
        <v>79</v>
      </c>
      <c r="E214" s="25" t="s">
        <v>1102</v>
      </c>
      <c r="F214" s="25" t="s">
        <v>64</v>
      </c>
      <c r="G214" s="25">
        <v>0</v>
      </c>
      <c r="H214" s="25">
        <v>0</v>
      </c>
      <c r="I214" s="25">
        <v>0</v>
      </c>
      <c r="J214" s="26">
        <v>0</v>
      </c>
    </row>
    <row r="215" spans="1:10">
      <c r="A215" s="23" t="s">
        <v>307</v>
      </c>
      <c r="B215" s="24" t="s">
        <v>308</v>
      </c>
      <c r="C215" s="25" t="s">
        <v>310</v>
      </c>
      <c r="D215" s="25" t="s">
        <v>288</v>
      </c>
      <c r="E215" s="25" t="s">
        <v>1096</v>
      </c>
      <c r="F215" s="25" t="s">
        <v>64</v>
      </c>
      <c r="G215" s="25">
        <v>0.13856812900000001</v>
      </c>
      <c r="H215" s="25">
        <v>0.64665127</v>
      </c>
      <c r="I215" s="25">
        <v>12.147805999999999</v>
      </c>
      <c r="J215" s="26">
        <v>281.15272606521739</v>
      </c>
    </row>
    <row r="216" spans="1:10">
      <c r="A216" s="23" t="s">
        <v>66</v>
      </c>
      <c r="B216" s="24" t="s">
        <v>67</v>
      </c>
      <c r="C216" s="25" t="s">
        <v>62</v>
      </c>
      <c r="D216" s="25" t="s">
        <v>63</v>
      </c>
      <c r="E216" s="25" t="s">
        <v>1098</v>
      </c>
      <c r="F216" s="25" t="s">
        <v>64</v>
      </c>
      <c r="G216" s="25">
        <v>0</v>
      </c>
      <c r="H216" s="25">
        <v>0</v>
      </c>
      <c r="I216" s="25">
        <v>0.13856812900000001</v>
      </c>
      <c r="J216" s="26">
        <v>3.0123506304347831</v>
      </c>
    </row>
    <row r="217" spans="1:10">
      <c r="A217" s="23" t="s">
        <v>71</v>
      </c>
      <c r="B217" s="24" t="s">
        <v>72</v>
      </c>
      <c r="C217" s="25" t="s">
        <v>62</v>
      </c>
      <c r="D217" s="25" t="s">
        <v>63</v>
      </c>
      <c r="E217" s="25" t="s">
        <v>1096</v>
      </c>
      <c r="F217" s="25" t="s">
        <v>64</v>
      </c>
      <c r="G217" s="25">
        <v>4.9884526559999998</v>
      </c>
      <c r="H217" s="25">
        <v>10.80831409</v>
      </c>
      <c r="I217" s="25">
        <v>13.34872979</v>
      </c>
      <c r="J217" s="26">
        <v>633.59775078260873</v>
      </c>
    </row>
    <row r="218" spans="1:10">
      <c r="A218" s="23" t="s">
        <v>59</v>
      </c>
      <c r="B218" s="24" t="s">
        <v>60</v>
      </c>
      <c r="C218" s="25" t="s">
        <v>62</v>
      </c>
      <c r="D218" s="25" t="s">
        <v>63</v>
      </c>
      <c r="E218" s="25" t="s">
        <v>1096</v>
      </c>
      <c r="F218" s="25" t="s">
        <v>64</v>
      </c>
      <c r="G218" s="25">
        <v>1.5704387989999999</v>
      </c>
      <c r="H218" s="25">
        <v>3.187066975</v>
      </c>
      <c r="I218" s="25">
        <v>9.4688221709999993</v>
      </c>
      <c r="J218" s="26">
        <v>309.26799880434783</v>
      </c>
    </row>
    <row r="219" spans="1:10">
      <c r="A219" s="23" t="s">
        <v>86</v>
      </c>
      <c r="B219" s="24" t="s">
        <v>87</v>
      </c>
      <c r="C219" s="25" t="s">
        <v>89</v>
      </c>
      <c r="D219" s="25" t="s">
        <v>63</v>
      </c>
      <c r="E219" s="25" t="s">
        <v>1097</v>
      </c>
      <c r="F219" s="25" t="s">
        <v>64</v>
      </c>
      <c r="G219" s="25">
        <v>0</v>
      </c>
      <c r="H219" s="25">
        <v>9.2378752999999994E-2</v>
      </c>
      <c r="I219" s="25">
        <v>0.64665127</v>
      </c>
      <c r="J219" s="26">
        <v>16.065870065217393</v>
      </c>
    </row>
    <row r="220" spans="1:10">
      <c r="A220" s="23" t="s">
        <v>583</v>
      </c>
      <c r="B220" s="24" t="s">
        <v>584</v>
      </c>
      <c r="C220" s="25" t="s">
        <v>571</v>
      </c>
      <c r="D220" s="25" t="s">
        <v>572</v>
      </c>
      <c r="E220" s="25" t="s">
        <v>1062</v>
      </c>
      <c r="F220" s="25" t="s">
        <v>573</v>
      </c>
      <c r="G220" s="25">
        <v>53.99538106</v>
      </c>
      <c r="H220" s="25">
        <v>72.517321019999997</v>
      </c>
      <c r="I220" s="25">
        <v>80.96997691</v>
      </c>
      <c r="J220" s="26">
        <v>4510.4930215217391</v>
      </c>
    </row>
    <row r="221" spans="1:10">
      <c r="A221" s="23" t="s">
        <v>587</v>
      </c>
      <c r="B221" s="24" t="s">
        <v>588</v>
      </c>
      <c r="C221" s="25" t="s">
        <v>571</v>
      </c>
      <c r="D221" s="25" t="s">
        <v>572</v>
      </c>
      <c r="E221" s="25" t="s">
        <v>1102</v>
      </c>
      <c r="F221" s="25" t="s">
        <v>573</v>
      </c>
      <c r="G221" s="25">
        <v>0</v>
      </c>
      <c r="H221" s="25">
        <v>0</v>
      </c>
      <c r="I221" s="25">
        <v>0.13856812900000001</v>
      </c>
      <c r="J221" s="26">
        <v>3.0123506304347831</v>
      </c>
    </row>
    <row r="222" spans="1:10">
      <c r="A222" s="23" t="s">
        <v>591</v>
      </c>
      <c r="B222" s="24" t="s">
        <v>592</v>
      </c>
      <c r="C222" s="25" t="s">
        <v>571</v>
      </c>
      <c r="D222" s="25" t="s">
        <v>572</v>
      </c>
      <c r="E222" s="25" t="s">
        <v>1096</v>
      </c>
      <c r="F222" s="25" t="s">
        <v>573</v>
      </c>
      <c r="G222" s="25">
        <v>0.323325635</v>
      </c>
      <c r="H222" s="25">
        <v>2.4018475750000001</v>
      </c>
      <c r="I222" s="25">
        <v>2.4018475750000001</v>
      </c>
      <c r="J222" s="26">
        <v>111.45697358695655</v>
      </c>
    </row>
    <row r="223" spans="1:10">
      <c r="A223" s="23" t="s">
        <v>579</v>
      </c>
      <c r="B223" s="24" t="s">
        <v>580</v>
      </c>
      <c r="C223" s="25" t="s">
        <v>571</v>
      </c>
      <c r="D223" s="25" t="s">
        <v>572</v>
      </c>
      <c r="E223" s="25" t="s">
        <v>1062</v>
      </c>
      <c r="F223" s="25" t="s">
        <v>573</v>
      </c>
      <c r="G223" s="25">
        <v>2.9561200919999999</v>
      </c>
      <c r="H223" s="25">
        <v>7.8983833719999996</v>
      </c>
      <c r="I223" s="25">
        <v>6.9745958430000004</v>
      </c>
      <c r="J223" s="26">
        <v>387.58911536956521</v>
      </c>
    </row>
    <row r="224" spans="1:10">
      <c r="A224" s="23" t="s">
        <v>568</v>
      </c>
      <c r="B224" s="24" t="s">
        <v>569</v>
      </c>
      <c r="C224" s="25" t="s">
        <v>571</v>
      </c>
      <c r="D224" s="25" t="s">
        <v>572</v>
      </c>
      <c r="E224" s="25" t="s">
        <v>1098</v>
      </c>
      <c r="F224" s="25" t="s">
        <v>573</v>
      </c>
      <c r="G224" s="25">
        <v>6.6512702079999997</v>
      </c>
      <c r="H224" s="25">
        <v>4.6189376439999998</v>
      </c>
      <c r="I224" s="25">
        <v>7.2979214780000001</v>
      </c>
      <c r="J224" s="26">
        <v>403.65498543478259</v>
      </c>
    </row>
    <row r="225" spans="1:10">
      <c r="A225" s="23" t="s">
        <v>575</v>
      </c>
      <c r="B225" s="24" t="s">
        <v>576</v>
      </c>
      <c r="C225" s="25" t="s">
        <v>571</v>
      </c>
      <c r="D225" s="25" t="s">
        <v>572</v>
      </c>
      <c r="E225" s="25" t="s">
        <v>1062</v>
      </c>
      <c r="F225" s="25" t="s">
        <v>573</v>
      </c>
      <c r="G225" s="25">
        <v>16.628175519999999</v>
      </c>
      <c r="H225" s="25">
        <v>20.877598150000001</v>
      </c>
      <c r="I225" s="25">
        <v>23.371824480000001</v>
      </c>
      <c r="J225" s="26">
        <v>1323.4260467391305</v>
      </c>
    </row>
    <row r="226" spans="1:10">
      <c r="A226" s="23" t="s">
        <v>131</v>
      </c>
      <c r="B226" s="24" t="s">
        <v>132</v>
      </c>
      <c r="C226" s="25" t="s">
        <v>94</v>
      </c>
      <c r="D226" s="25" t="s">
        <v>95</v>
      </c>
      <c r="E226" s="25" t="s">
        <v>1102</v>
      </c>
      <c r="F226" s="25"/>
      <c r="G226" s="25">
        <v>9.2378752999999994E-2</v>
      </c>
      <c r="H226" s="25">
        <v>9.2378752999999994E-2</v>
      </c>
      <c r="I226" s="25">
        <v>0</v>
      </c>
      <c r="J226" s="26">
        <v>4.0164675217391306</v>
      </c>
    </row>
    <row r="227" spans="1:10">
      <c r="A227" s="23" t="s">
        <v>357</v>
      </c>
      <c r="B227" s="24" t="s">
        <v>358</v>
      </c>
      <c r="C227" s="25" t="s">
        <v>351</v>
      </c>
      <c r="D227" s="25" t="s">
        <v>316</v>
      </c>
      <c r="E227" s="25" t="s">
        <v>1102</v>
      </c>
      <c r="F227" s="25"/>
      <c r="G227" s="25">
        <v>0</v>
      </c>
      <c r="H227" s="25">
        <v>0</v>
      </c>
      <c r="I227" s="25">
        <v>0</v>
      </c>
      <c r="J227" s="26">
        <v>0</v>
      </c>
    </row>
    <row r="228" spans="1:10">
      <c r="A228" s="23" t="s">
        <v>476</v>
      </c>
      <c r="B228" s="24" t="s">
        <v>477</v>
      </c>
      <c r="C228" s="25" t="s">
        <v>479</v>
      </c>
      <c r="D228" s="25" t="s">
        <v>480</v>
      </c>
      <c r="E228" s="25" t="s">
        <v>1062</v>
      </c>
      <c r="F228" s="25"/>
      <c r="G228" s="25">
        <v>6.0046189380000001</v>
      </c>
      <c r="H228" s="25">
        <v>13.81062356</v>
      </c>
      <c r="I228" s="25">
        <v>12.7482679</v>
      </c>
      <c r="J228" s="26">
        <v>707.90239995652166</v>
      </c>
    </row>
    <row r="229" spans="1:10">
      <c r="A229" s="23" t="s">
        <v>1019</v>
      </c>
      <c r="B229" s="24" t="s">
        <v>1020</v>
      </c>
      <c r="C229" s="25" t="s">
        <v>1016</v>
      </c>
      <c r="D229" s="25" t="s">
        <v>599</v>
      </c>
      <c r="E229" s="25" t="s">
        <v>1102</v>
      </c>
      <c r="F229" s="25"/>
      <c r="G229" s="25">
        <v>0</v>
      </c>
      <c r="H229" s="25">
        <v>0</v>
      </c>
      <c r="I229" s="25">
        <v>0</v>
      </c>
      <c r="J229" s="26">
        <v>0</v>
      </c>
    </row>
  </sheetData>
  <sortState xmlns:xlrd2="http://schemas.microsoft.com/office/spreadsheetml/2017/richdata2" ref="A2:J229">
    <sortCondition ref="F2:F229"/>
  </sortState>
  <conditionalFormatting sqref="A2:J229">
    <cfRule type="expression" dxfId="0" priority="1">
      <formula>"$AA=test"</formula>
    </cfRule>
  </conditionalFormatting>
  <pageMargins left="0.25" right="0.25" top="0.75" bottom="0.75" header="0.3" footer="0.3"/>
  <pageSetup paperSize="9" scale="66" fitToHeight="6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BDF7-E602-C546-9ACE-4CD6828230D0}">
  <dimension ref="A3:B9"/>
  <sheetViews>
    <sheetView workbookViewId="0">
      <selection activeCell="B8" sqref="A4:B8"/>
    </sheetView>
  </sheetViews>
  <sheetFormatPr baseColWidth="10" defaultRowHeight="16"/>
  <cols>
    <col min="1" max="1" width="30.33203125" bestFit="1" customWidth="1"/>
    <col min="2" max="2" width="34.5" bestFit="1" customWidth="1"/>
    <col min="3" max="7" width="31.1640625" bestFit="1" customWidth="1"/>
    <col min="8" max="8" width="10.5" bestFit="1" customWidth="1"/>
  </cols>
  <sheetData>
    <row r="3" spans="1:2">
      <c r="A3" s="19" t="s">
        <v>1094</v>
      </c>
      <c r="B3" t="s">
        <v>1100</v>
      </c>
    </row>
    <row r="4" spans="1:2">
      <c r="A4" s="15" t="s">
        <v>1095</v>
      </c>
      <c r="B4">
        <v>59</v>
      </c>
    </row>
    <row r="5" spans="1:2">
      <c r="A5" s="15" t="s">
        <v>1062</v>
      </c>
      <c r="B5">
        <v>46</v>
      </c>
    </row>
    <row r="6" spans="1:2">
      <c r="A6" s="15" t="s">
        <v>1096</v>
      </c>
      <c r="B6">
        <v>41</v>
      </c>
    </row>
    <row r="7" spans="1:2">
      <c r="A7" s="15" t="s">
        <v>1097</v>
      </c>
      <c r="B7">
        <v>9</v>
      </c>
    </row>
    <row r="8" spans="1:2">
      <c r="A8" s="15" t="s">
        <v>1098</v>
      </c>
      <c r="B8">
        <v>56</v>
      </c>
    </row>
    <row r="9" spans="1:2">
      <c r="A9" s="15" t="s">
        <v>1099</v>
      </c>
      <c r="B9">
        <v>211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EAF7-E30E-6544-B864-F50084CF9741}">
  <dimension ref="A1:Q229"/>
  <sheetViews>
    <sheetView topLeftCell="A19" workbookViewId="0">
      <selection activeCell="F56" sqref="F56"/>
    </sheetView>
  </sheetViews>
  <sheetFormatPr baseColWidth="10" defaultRowHeight="16"/>
  <cols>
    <col min="1" max="1" width="27.6640625" bestFit="1" customWidth="1"/>
    <col min="2" max="2" width="34" bestFit="1" customWidth="1"/>
    <col min="3" max="3" width="22" customWidth="1"/>
    <col min="4" max="4" width="27.6640625" bestFit="1" customWidth="1"/>
    <col min="7" max="7" width="16.33203125" bestFit="1" customWidth="1"/>
    <col min="8" max="8" width="16.6640625" bestFit="1" customWidth="1"/>
    <col min="9" max="9" width="26.1640625" bestFit="1" customWidth="1"/>
    <col min="10" max="10" width="15.1640625" bestFit="1" customWidth="1"/>
    <col min="11" max="11" width="15.1640625" customWidth="1"/>
    <col min="12" max="12" width="16.6640625" bestFit="1" customWidth="1"/>
    <col min="14" max="14" width="16.33203125" bestFit="1" customWidth="1"/>
    <col min="16" max="16" width="16.33203125" bestFit="1" customWidth="1"/>
  </cols>
  <sheetData>
    <row r="1" spans="1:17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1060</v>
      </c>
      <c r="I1" t="s">
        <v>1066</v>
      </c>
      <c r="J1" t="s">
        <v>1073</v>
      </c>
      <c r="L1" t="s">
        <v>1060</v>
      </c>
      <c r="N1" t="s">
        <v>9</v>
      </c>
      <c r="P1" t="s">
        <v>1073</v>
      </c>
    </row>
    <row r="2" spans="1:17">
      <c r="A2" t="s">
        <v>18</v>
      </c>
      <c r="B2" t="s">
        <v>19</v>
      </c>
      <c r="C2" t="s">
        <v>20</v>
      </c>
      <c r="D2" t="s">
        <v>18</v>
      </c>
      <c r="E2" t="s">
        <v>21</v>
      </c>
      <c r="F2" t="s">
        <v>22</v>
      </c>
      <c r="G2">
        <v>1</v>
      </c>
      <c r="H2">
        <v>1.5</v>
      </c>
      <c r="L2" t="s">
        <v>1062</v>
      </c>
      <c r="M2">
        <v>1</v>
      </c>
      <c r="N2" t="s">
        <v>1069</v>
      </c>
      <c r="O2">
        <v>1</v>
      </c>
      <c r="P2" t="s">
        <v>1069</v>
      </c>
      <c r="Q2">
        <v>1</v>
      </c>
    </row>
    <row r="3" spans="1:17">
      <c r="A3" t="s">
        <v>27</v>
      </c>
      <c r="B3" t="s">
        <v>28</v>
      </c>
      <c r="C3" t="s">
        <v>29</v>
      </c>
      <c r="D3" t="s">
        <v>27</v>
      </c>
      <c r="E3" t="s">
        <v>21</v>
      </c>
      <c r="F3" t="s">
        <v>22</v>
      </c>
      <c r="G3">
        <v>1</v>
      </c>
      <c r="H3">
        <v>2</v>
      </c>
      <c r="L3" t="s">
        <v>1061</v>
      </c>
      <c r="M3">
        <v>1.5</v>
      </c>
      <c r="N3" t="s">
        <v>1061</v>
      </c>
      <c r="O3">
        <v>2</v>
      </c>
      <c r="P3" t="s">
        <v>1061</v>
      </c>
      <c r="Q3">
        <v>1.5</v>
      </c>
    </row>
    <row r="4" spans="1:17">
      <c r="A4" t="s">
        <v>33</v>
      </c>
      <c r="B4" t="s">
        <v>34</v>
      </c>
      <c r="C4" t="s">
        <v>35</v>
      </c>
      <c r="D4" t="s">
        <v>33</v>
      </c>
      <c r="E4" t="s">
        <v>21</v>
      </c>
      <c r="F4" t="s">
        <v>22</v>
      </c>
      <c r="G4">
        <v>3</v>
      </c>
      <c r="H4" t="s">
        <v>1065</v>
      </c>
      <c r="I4" t="s">
        <v>1067</v>
      </c>
      <c r="L4" t="s">
        <v>1063</v>
      </c>
      <c r="M4">
        <v>2</v>
      </c>
      <c r="N4" t="s">
        <v>1070</v>
      </c>
      <c r="O4">
        <v>3</v>
      </c>
      <c r="P4" t="s">
        <v>1076</v>
      </c>
      <c r="Q4">
        <v>2</v>
      </c>
    </row>
    <row r="5" spans="1:17">
      <c r="A5" t="s">
        <v>37</v>
      </c>
      <c r="B5" t="s">
        <v>38</v>
      </c>
      <c r="C5" t="s">
        <v>39</v>
      </c>
      <c r="D5" t="s">
        <v>37</v>
      </c>
      <c r="E5" t="s">
        <v>21</v>
      </c>
      <c r="F5" t="s">
        <v>22</v>
      </c>
      <c r="G5">
        <v>3</v>
      </c>
      <c r="H5" t="s">
        <v>1065</v>
      </c>
      <c r="I5" t="s">
        <v>1068</v>
      </c>
      <c r="L5" t="s">
        <v>1064</v>
      </c>
      <c r="M5">
        <v>3</v>
      </c>
      <c r="P5" t="s">
        <v>1078</v>
      </c>
      <c r="Q5">
        <v>2.5</v>
      </c>
    </row>
    <row r="6" spans="1:17">
      <c r="A6" t="s">
        <v>41</v>
      </c>
      <c r="B6" t="s">
        <v>42</v>
      </c>
      <c r="C6" t="s">
        <v>43</v>
      </c>
      <c r="D6" t="s">
        <v>41</v>
      </c>
      <c r="E6" t="s">
        <v>21</v>
      </c>
      <c r="F6" t="s">
        <v>22</v>
      </c>
      <c r="G6">
        <v>3</v>
      </c>
      <c r="H6">
        <v>2</v>
      </c>
      <c r="P6" t="s">
        <v>1077</v>
      </c>
      <c r="Q6">
        <v>3</v>
      </c>
    </row>
    <row r="7" spans="1:17">
      <c r="A7" s="1" t="s">
        <v>45</v>
      </c>
      <c r="B7" s="1" t="s">
        <v>46</v>
      </c>
      <c r="C7" s="1" t="s">
        <v>47</v>
      </c>
      <c r="D7" s="1" t="s">
        <v>45</v>
      </c>
      <c r="E7" s="1" t="s">
        <v>48</v>
      </c>
      <c r="F7" s="1" t="s">
        <v>49</v>
      </c>
      <c r="G7">
        <v>3</v>
      </c>
      <c r="H7">
        <v>2</v>
      </c>
    </row>
    <row r="8" spans="1:17">
      <c r="A8" t="s">
        <v>53</v>
      </c>
      <c r="B8" t="s">
        <v>54</v>
      </c>
      <c r="C8" t="s">
        <v>55</v>
      </c>
      <c r="D8" t="s">
        <v>53</v>
      </c>
      <c r="E8" t="s">
        <v>56</v>
      </c>
      <c r="F8" t="s">
        <v>57</v>
      </c>
      <c r="G8">
        <v>2</v>
      </c>
      <c r="H8">
        <v>2</v>
      </c>
    </row>
    <row r="9" spans="1:17">
      <c r="A9" t="s">
        <v>59</v>
      </c>
      <c r="B9" t="s">
        <v>60</v>
      </c>
      <c r="C9" t="s">
        <v>61</v>
      </c>
      <c r="D9" t="s">
        <v>59</v>
      </c>
      <c r="E9" t="s">
        <v>62</v>
      </c>
      <c r="F9" t="s">
        <v>63</v>
      </c>
      <c r="G9">
        <v>2</v>
      </c>
      <c r="H9">
        <v>2</v>
      </c>
    </row>
    <row r="10" spans="1:17">
      <c r="A10" s="3" t="s">
        <v>66</v>
      </c>
      <c r="B10" s="3" t="s">
        <v>67</v>
      </c>
      <c r="C10" s="3" t="s">
        <v>68</v>
      </c>
      <c r="D10" s="3" t="s">
        <v>66</v>
      </c>
      <c r="E10" s="3" t="s">
        <v>62</v>
      </c>
      <c r="F10" s="3" t="s">
        <v>63</v>
      </c>
      <c r="G10">
        <v>2</v>
      </c>
      <c r="H10" t="s">
        <v>1065</v>
      </c>
    </row>
    <row r="11" spans="1:17">
      <c r="A11" t="s">
        <v>71</v>
      </c>
      <c r="B11" t="s">
        <v>72</v>
      </c>
      <c r="C11" t="s">
        <v>73</v>
      </c>
      <c r="D11" t="s">
        <v>71</v>
      </c>
      <c r="E11" t="s">
        <v>62</v>
      </c>
      <c r="F11" t="s">
        <v>63</v>
      </c>
      <c r="G11">
        <v>1</v>
      </c>
      <c r="H11">
        <v>3</v>
      </c>
      <c r="J11">
        <v>1.5</v>
      </c>
    </row>
    <row r="12" spans="1:17">
      <c r="A12" s="1" t="s">
        <v>75</v>
      </c>
      <c r="B12" s="1" t="s">
        <v>76</v>
      </c>
      <c r="C12" s="1" t="s">
        <v>77</v>
      </c>
      <c r="D12" s="1" t="s">
        <v>75</v>
      </c>
      <c r="E12" s="1" t="s">
        <v>78</v>
      </c>
      <c r="F12" s="1" t="s">
        <v>79</v>
      </c>
      <c r="G12">
        <v>3</v>
      </c>
      <c r="H12">
        <v>2</v>
      </c>
    </row>
    <row r="13" spans="1:17">
      <c r="A13" t="s">
        <v>81</v>
      </c>
      <c r="B13" t="s">
        <v>82</v>
      </c>
      <c r="C13" t="s">
        <v>83</v>
      </c>
      <c r="D13" t="s">
        <v>81</v>
      </c>
      <c r="E13" t="s">
        <v>78</v>
      </c>
      <c r="F13" t="s">
        <v>79</v>
      </c>
      <c r="G13">
        <v>3</v>
      </c>
      <c r="H13">
        <v>3</v>
      </c>
    </row>
    <row r="14" spans="1:17">
      <c r="A14" t="s">
        <v>86</v>
      </c>
      <c r="B14" t="s">
        <v>87</v>
      </c>
      <c r="C14" t="s">
        <v>88</v>
      </c>
      <c r="D14" t="s">
        <v>86</v>
      </c>
      <c r="E14" t="s">
        <v>89</v>
      </c>
      <c r="F14" t="s">
        <v>63</v>
      </c>
      <c r="G14">
        <v>2</v>
      </c>
      <c r="H14">
        <v>2</v>
      </c>
    </row>
    <row r="15" spans="1:17">
      <c r="A15" t="s">
        <v>91</v>
      </c>
      <c r="B15" t="s">
        <v>92</v>
      </c>
      <c r="C15" t="s">
        <v>93</v>
      </c>
      <c r="D15" t="s">
        <v>91</v>
      </c>
      <c r="E15" t="s">
        <v>94</v>
      </c>
      <c r="F15" t="s">
        <v>95</v>
      </c>
      <c r="G15">
        <v>3</v>
      </c>
      <c r="H15">
        <v>1.5</v>
      </c>
    </row>
    <row r="16" spans="1:17">
      <c r="A16" t="s">
        <v>98</v>
      </c>
      <c r="B16" t="s">
        <v>99</v>
      </c>
      <c r="C16" t="s">
        <v>100</v>
      </c>
      <c r="D16" t="s">
        <v>98</v>
      </c>
      <c r="E16" t="s">
        <v>94</v>
      </c>
      <c r="F16" t="s">
        <v>95</v>
      </c>
      <c r="G16">
        <v>3</v>
      </c>
      <c r="H16">
        <v>2</v>
      </c>
      <c r="I16" t="s">
        <v>1071</v>
      </c>
    </row>
    <row r="17" spans="1:10">
      <c r="A17" t="s">
        <v>102</v>
      </c>
      <c r="B17" t="s">
        <v>103</v>
      </c>
      <c r="C17" t="s">
        <v>104</v>
      </c>
      <c r="D17" t="s">
        <v>102</v>
      </c>
      <c r="E17" t="s">
        <v>94</v>
      </c>
      <c r="F17" t="s">
        <v>95</v>
      </c>
      <c r="G17">
        <v>3</v>
      </c>
      <c r="H17">
        <v>2</v>
      </c>
    </row>
    <row r="18" spans="1:10">
      <c r="A18" s="2" t="s">
        <v>106</v>
      </c>
      <c r="B18" s="2" t="s">
        <v>107</v>
      </c>
      <c r="C18" s="2" t="s">
        <v>108</v>
      </c>
      <c r="D18" s="2" t="s">
        <v>106</v>
      </c>
      <c r="E18" s="2" t="s">
        <v>94</v>
      </c>
      <c r="F18" s="2" t="s">
        <v>95</v>
      </c>
      <c r="G18">
        <v>3</v>
      </c>
      <c r="H18" t="s">
        <v>1065</v>
      </c>
      <c r="I18" t="s">
        <v>1068</v>
      </c>
    </row>
    <row r="19" spans="1:10">
      <c r="A19" s="2" t="s">
        <v>110</v>
      </c>
      <c r="B19" s="2" t="s">
        <v>111</v>
      </c>
      <c r="C19" s="2" t="s">
        <v>112</v>
      </c>
      <c r="D19" s="2" t="s">
        <v>110</v>
      </c>
      <c r="E19" s="2" t="s">
        <v>94</v>
      </c>
      <c r="F19" s="2" t="s">
        <v>95</v>
      </c>
      <c r="G19">
        <v>3</v>
      </c>
      <c r="H19">
        <v>1</v>
      </c>
    </row>
    <row r="20" spans="1:10">
      <c r="A20" t="s">
        <v>114</v>
      </c>
      <c r="B20" t="s">
        <v>115</v>
      </c>
      <c r="C20" t="s">
        <v>116</v>
      </c>
      <c r="D20" t="s">
        <v>114</v>
      </c>
      <c r="E20" t="s">
        <v>94</v>
      </c>
      <c r="F20" t="s">
        <v>95</v>
      </c>
      <c r="G20">
        <v>3</v>
      </c>
      <c r="H20">
        <v>2</v>
      </c>
    </row>
    <row r="21" spans="1:10">
      <c r="A21" s="2" t="s">
        <v>118</v>
      </c>
      <c r="B21" s="2" t="s">
        <v>119</v>
      </c>
      <c r="C21" s="2" t="s">
        <v>120</v>
      </c>
      <c r="D21" s="2" t="s">
        <v>118</v>
      </c>
      <c r="E21" s="2" t="s">
        <v>94</v>
      </c>
      <c r="F21" s="2" t="s">
        <v>95</v>
      </c>
      <c r="G21">
        <v>2</v>
      </c>
      <c r="H21" t="s">
        <v>1065</v>
      </c>
      <c r="I21" t="s">
        <v>1068</v>
      </c>
    </row>
    <row r="22" spans="1:10">
      <c r="A22" s="2" t="s">
        <v>122</v>
      </c>
      <c r="B22" s="2" t="s">
        <v>123</v>
      </c>
      <c r="C22" s="2" t="s">
        <v>124</v>
      </c>
      <c r="D22" s="2" t="s">
        <v>122</v>
      </c>
      <c r="E22" s="2" t="s">
        <v>94</v>
      </c>
      <c r="F22" s="2" t="s">
        <v>95</v>
      </c>
      <c r="G22">
        <v>2</v>
      </c>
      <c r="H22" t="s">
        <v>1065</v>
      </c>
      <c r="I22" t="s">
        <v>1068</v>
      </c>
    </row>
    <row r="23" spans="1:10">
      <c r="A23" t="s">
        <v>126</v>
      </c>
      <c r="B23" t="s">
        <v>127</v>
      </c>
      <c r="C23" t="s">
        <v>128</v>
      </c>
      <c r="D23" t="s">
        <v>126</v>
      </c>
      <c r="E23" t="s">
        <v>94</v>
      </c>
      <c r="F23" t="s">
        <v>95</v>
      </c>
      <c r="G23">
        <v>2</v>
      </c>
      <c r="H23">
        <v>2</v>
      </c>
    </row>
    <row r="24" spans="1:10">
      <c r="A24" s="2" t="s">
        <v>131</v>
      </c>
      <c r="B24" s="2" t="s">
        <v>132</v>
      </c>
      <c r="C24" s="2" t="s">
        <v>133</v>
      </c>
      <c r="D24" s="2" t="s">
        <v>131</v>
      </c>
      <c r="E24" s="2" t="s">
        <v>94</v>
      </c>
      <c r="F24" s="2" t="s">
        <v>95</v>
      </c>
      <c r="G24">
        <v>3</v>
      </c>
      <c r="H24" t="s">
        <v>1065</v>
      </c>
      <c r="I24" t="s">
        <v>1068</v>
      </c>
    </row>
    <row r="25" spans="1:10">
      <c r="A25" t="s">
        <v>136</v>
      </c>
      <c r="B25" t="s">
        <v>137</v>
      </c>
      <c r="C25" t="s">
        <v>138</v>
      </c>
      <c r="D25" t="s">
        <v>136</v>
      </c>
      <c r="E25" t="s">
        <v>94</v>
      </c>
      <c r="F25" t="s">
        <v>95</v>
      </c>
      <c r="G25">
        <v>3</v>
      </c>
      <c r="H25">
        <v>2</v>
      </c>
      <c r="I25" t="s">
        <v>1072</v>
      </c>
    </row>
    <row r="26" spans="1:10">
      <c r="A26" t="s">
        <v>140</v>
      </c>
      <c r="B26" t="s">
        <v>141</v>
      </c>
      <c r="C26" t="s">
        <v>141</v>
      </c>
      <c r="D26" t="s">
        <v>140</v>
      </c>
      <c r="E26" t="s">
        <v>94</v>
      </c>
      <c r="F26" t="s">
        <v>95</v>
      </c>
      <c r="G26">
        <v>2</v>
      </c>
      <c r="H26">
        <v>2</v>
      </c>
    </row>
    <row r="27" spans="1:10">
      <c r="A27" t="s">
        <v>143</v>
      </c>
      <c r="B27" t="s">
        <v>144</v>
      </c>
      <c r="C27" t="s">
        <v>145</v>
      </c>
      <c r="D27" t="s">
        <v>143</v>
      </c>
      <c r="E27" t="s">
        <v>94</v>
      </c>
      <c r="F27" t="s">
        <v>95</v>
      </c>
      <c r="G27">
        <v>2</v>
      </c>
      <c r="H27">
        <v>2</v>
      </c>
    </row>
    <row r="28" spans="1:10">
      <c r="A28" t="s">
        <v>147</v>
      </c>
      <c r="B28" t="s">
        <v>148</v>
      </c>
      <c r="C28" t="s">
        <v>148</v>
      </c>
      <c r="D28" t="s">
        <v>147</v>
      </c>
      <c r="E28" t="s">
        <v>94</v>
      </c>
      <c r="F28" t="s">
        <v>95</v>
      </c>
      <c r="G28">
        <v>2</v>
      </c>
    </row>
    <row r="29" spans="1:10">
      <c r="A29" t="s">
        <v>150</v>
      </c>
      <c r="B29" t="s">
        <v>151</v>
      </c>
      <c r="C29" t="s">
        <v>152</v>
      </c>
      <c r="D29" t="s">
        <v>150</v>
      </c>
      <c r="E29" t="s">
        <v>94</v>
      </c>
      <c r="F29" t="s">
        <v>95</v>
      </c>
      <c r="G29">
        <v>3</v>
      </c>
      <c r="H29">
        <v>2</v>
      </c>
      <c r="J29">
        <v>2</v>
      </c>
    </row>
    <row r="30" spans="1:10">
      <c r="A30" t="s">
        <v>154</v>
      </c>
      <c r="B30" t="s">
        <v>155</v>
      </c>
      <c r="C30" t="s">
        <v>155</v>
      </c>
      <c r="D30" t="s">
        <v>154</v>
      </c>
      <c r="E30" t="s">
        <v>94</v>
      </c>
      <c r="F30" t="s">
        <v>95</v>
      </c>
      <c r="G30">
        <v>3</v>
      </c>
      <c r="H30">
        <v>3</v>
      </c>
      <c r="J30">
        <v>3</v>
      </c>
    </row>
    <row r="31" spans="1:10">
      <c r="A31" t="s">
        <v>157</v>
      </c>
      <c r="B31" t="s">
        <v>158</v>
      </c>
      <c r="C31" t="s">
        <v>159</v>
      </c>
      <c r="D31" t="s">
        <v>157</v>
      </c>
      <c r="E31" t="s">
        <v>94</v>
      </c>
      <c r="F31" t="s">
        <v>95</v>
      </c>
      <c r="G31">
        <v>3</v>
      </c>
      <c r="H31">
        <v>2</v>
      </c>
      <c r="J31">
        <v>2</v>
      </c>
    </row>
    <row r="32" spans="1:10">
      <c r="A32" s="3" t="s">
        <v>161</v>
      </c>
      <c r="B32" s="3" t="s">
        <v>162</v>
      </c>
      <c r="C32" s="3" t="s">
        <v>163</v>
      </c>
      <c r="D32" s="3" t="s">
        <v>161</v>
      </c>
      <c r="E32" s="3" t="s">
        <v>94</v>
      </c>
      <c r="F32" s="3" t="s">
        <v>95</v>
      </c>
      <c r="G32">
        <v>2</v>
      </c>
      <c r="H32">
        <v>2</v>
      </c>
      <c r="J32">
        <v>2</v>
      </c>
    </row>
    <row r="33" spans="1:10">
      <c r="A33" t="s">
        <v>166</v>
      </c>
      <c r="B33" t="s">
        <v>167</v>
      </c>
      <c r="C33" t="s">
        <v>168</v>
      </c>
      <c r="D33" t="s">
        <v>166</v>
      </c>
      <c r="E33" t="s">
        <v>94</v>
      </c>
      <c r="F33" t="s">
        <v>95</v>
      </c>
      <c r="G33">
        <v>1</v>
      </c>
      <c r="H33">
        <v>1.5</v>
      </c>
      <c r="J33">
        <v>2</v>
      </c>
    </row>
    <row r="34" spans="1:10">
      <c r="A34" t="s">
        <v>171</v>
      </c>
      <c r="B34" t="s">
        <v>172</v>
      </c>
      <c r="C34" t="s">
        <v>173</v>
      </c>
      <c r="D34" t="s">
        <v>171</v>
      </c>
      <c r="E34" t="s">
        <v>94</v>
      </c>
      <c r="F34" t="s">
        <v>95</v>
      </c>
      <c r="G34">
        <v>2</v>
      </c>
      <c r="H34">
        <v>1.5</v>
      </c>
      <c r="J34">
        <v>2</v>
      </c>
    </row>
    <row r="35" spans="1:10">
      <c r="A35" s="1" t="s">
        <v>175</v>
      </c>
      <c r="B35" s="1" t="s">
        <v>176</v>
      </c>
      <c r="C35" s="1" t="s">
        <v>177</v>
      </c>
      <c r="D35" s="1" t="s">
        <v>175</v>
      </c>
      <c r="E35" s="1" t="s">
        <v>94</v>
      </c>
      <c r="F35" s="1" t="s">
        <v>95</v>
      </c>
      <c r="G35">
        <v>3</v>
      </c>
      <c r="H35" t="s">
        <v>1065</v>
      </c>
      <c r="I35" t="s">
        <v>1074</v>
      </c>
      <c r="J35" t="s">
        <v>1065</v>
      </c>
    </row>
    <row r="36" spans="1:10">
      <c r="A36" t="s">
        <v>179</v>
      </c>
      <c r="B36" t="s">
        <v>180</v>
      </c>
      <c r="C36" t="s">
        <v>181</v>
      </c>
      <c r="D36" t="s">
        <v>179</v>
      </c>
      <c r="E36" t="s">
        <v>94</v>
      </c>
      <c r="F36" t="s">
        <v>95</v>
      </c>
      <c r="G36">
        <v>2</v>
      </c>
      <c r="H36">
        <v>1.5</v>
      </c>
      <c r="J36">
        <v>2</v>
      </c>
    </row>
    <row r="37" spans="1:10">
      <c r="A37" s="1" t="s">
        <v>183</v>
      </c>
      <c r="B37" s="1" t="s">
        <v>184</v>
      </c>
      <c r="C37" s="1" t="s">
        <v>185</v>
      </c>
      <c r="D37" s="1" t="s">
        <v>183</v>
      </c>
      <c r="E37" s="1" t="s">
        <v>94</v>
      </c>
      <c r="F37" s="1" t="s">
        <v>95</v>
      </c>
      <c r="G37">
        <v>3</v>
      </c>
      <c r="H37" t="s">
        <v>1065</v>
      </c>
      <c r="J37" t="s">
        <v>1065</v>
      </c>
    </row>
    <row r="38" spans="1:10">
      <c r="A38" t="s">
        <v>187</v>
      </c>
      <c r="B38" t="s">
        <v>188</v>
      </c>
      <c r="C38" t="s">
        <v>189</v>
      </c>
      <c r="D38" t="s">
        <v>187</v>
      </c>
      <c r="E38" t="s">
        <v>94</v>
      </c>
      <c r="F38" t="s">
        <v>95</v>
      </c>
      <c r="G38">
        <v>3</v>
      </c>
      <c r="H38" t="s">
        <v>1065</v>
      </c>
      <c r="I38" t="s">
        <v>1075</v>
      </c>
      <c r="J38">
        <v>1</v>
      </c>
    </row>
    <row r="39" spans="1:10">
      <c r="A39" s="1" t="s">
        <v>191</v>
      </c>
      <c r="B39" s="1" t="s">
        <v>192</v>
      </c>
      <c r="C39" s="1" t="s">
        <v>192</v>
      </c>
      <c r="D39" s="1" t="s">
        <v>191</v>
      </c>
      <c r="E39" s="1" t="s">
        <v>94</v>
      </c>
      <c r="F39" s="1" t="s">
        <v>95</v>
      </c>
      <c r="G39">
        <v>3</v>
      </c>
      <c r="H39" t="s">
        <v>1065</v>
      </c>
      <c r="J39" t="s">
        <v>1065</v>
      </c>
    </row>
    <row r="40" spans="1:10">
      <c r="A40" t="s">
        <v>194</v>
      </c>
      <c r="B40" t="s">
        <v>195</v>
      </c>
      <c r="C40" t="s">
        <v>196</v>
      </c>
      <c r="D40" t="s">
        <v>194</v>
      </c>
      <c r="E40" t="s">
        <v>94</v>
      </c>
      <c r="F40" t="s">
        <v>95</v>
      </c>
      <c r="G40">
        <v>3</v>
      </c>
      <c r="H40">
        <v>1.5</v>
      </c>
      <c r="J40">
        <v>2</v>
      </c>
    </row>
    <row r="41" spans="1:10">
      <c r="A41" t="s">
        <v>198</v>
      </c>
      <c r="B41" t="s">
        <v>199</v>
      </c>
      <c r="C41" t="s">
        <v>200</v>
      </c>
      <c r="D41" t="s">
        <v>198</v>
      </c>
      <c r="E41" t="s">
        <v>94</v>
      </c>
      <c r="F41" t="s">
        <v>95</v>
      </c>
      <c r="G41">
        <v>3</v>
      </c>
      <c r="H41">
        <v>1.5</v>
      </c>
      <c r="J41">
        <v>2</v>
      </c>
    </row>
    <row r="42" spans="1:10">
      <c r="A42" t="s">
        <v>202</v>
      </c>
      <c r="B42" t="s">
        <v>203</v>
      </c>
      <c r="C42" t="s">
        <v>204</v>
      </c>
      <c r="D42" t="s">
        <v>202</v>
      </c>
      <c r="E42" t="s">
        <v>205</v>
      </c>
      <c r="F42" t="s">
        <v>206</v>
      </c>
      <c r="G42">
        <v>3</v>
      </c>
      <c r="H42">
        <v>3</v>
      </c>
      <c r="J42">
        <v>3</v>
      </c>
    </row>
    <row r="43" spans="1:10">
      <c r="A43" t="s">
        <v>209</v>
      </c>
      <c r="B43" t="s">
        <v>210</v>
      </c>
      <c r="C43" t="s">
        <v>211</v>
      </c>
      <c r="D43" t="s">
        <v>209</v>
      </c>
      <c r="E43" t="s">
        <v>205</v>
      </c>
      <c r="F43" t="s">
        <v>206</v>
      </c>
      <c r="G43">
        <v>2</v>
      </c>
      <c r="H43">
        <v>2</v>
      </c>
      <c r="J43">
        <v>1.5</v>
      </c>
    </row>
    <row r="44" spans="1:10">
      <c r="A44" t="s">
        <v>213</v>
      </c>
      <c r="B44" t="s">
        <v>214</v>
      </c>
      <c r="C44" t="s">
        <v>215</v>
      </c>
      <c r="D44" t="s">
        <v>213</v>
      </c>
      <c r="E44" t="s">
        <v>205</v>
      </c>
      <c r="F44" t="s">
        <v>206</v>
      </c>
      <c r="G44">
        <v>2</v>
      </c>
      <c r="H44">
        <v>2</v>
      </c>
      <c r="I44" t="s">
        <v>1072</v>
      </c>
      <c r="J44" t="s">
        <v>1065</v>
      </c>
    </row>
    <row r="45" spans="1:10">
      <c r="A45" t="s">
        <v>217</v>
      </c>
      <c r="B45" t="s">
        <v>218</v>
      </c>
      <c r="C45" t="s">
        <v>219</v>
      </c>
      <c r="D45" t="s">
        <v>217</v>
      </c>
      <c r="E45" t="s">
        <v>205</v>
      </c>
      <c r="F45" t="s">
        <v>206</v>
      </c>
      <c r="G45">
        <v>2</v>
      </c>
      <c r="H45">
        <v>2</v>
      </c>
      <c r="J45">
        <v>2.5</v>
      </c>
    </row>
    <row r="46" spans="1:10">
      <c r="A46" t="s">
        <v>221</v>
      </c>
      <c r="B46" t="s">
        <v>222</v>
      </c>
      <c r="C46" t="s">
        <v>223</v>
      </c>
      <c r="D46" t="s">
        <v>221</v>
      </c>
      <c r="E46" t="s">
        <v>205</v>
      </c>
      <c r="F46" t="s">
        <v>206</v>
      </c>
      <c r="G46">
        <v>3</v>
      </c>
      <c r="H46">
        <v>2</v>
      </c>
      <c r="J46" t="s">
        <v>1065</v>
      </c>
    </row>
    <row r="47" spans="1:10">
      <c r="A47" t="s">
        <v>225</v>
      </c>
      <c r="B47" t="s">
        <v>226</v>
      </c>
      <c r="C47" t="s">
        <v>227</v>
      </c>
      <c r="D47" t="s">
        <v>225</v>
      </c>
      <c r="E47" t="s">
        <v>205</v>
      </c>
      <c r="F47" t="s">
        <v>206</v>
      </c>
      <c r="G47">
        <v>3</v>
      </c>
      <c r="H47">
        <v>2</v>
      </c>
      <c r="J47">
        <v>3</v>
      </c>
    </row>
    <row r="48" spans="1:10">
      <c r="A48" t="s">
        <v>230</v>
      </c>
      <c r="B48" t="s">
        <v>231</v>
      </c>
      <c r="C48" t="s">
        <v>232</v>
      </c>
      <c r="D48" t="s">
        <v>230</v>
      </c>
      <c r="E48" t="s">
        <v>205</v>
      </c>
      <c r="F48" t="s">
        <v>206</v>
      </c>
      <c r="G48">
        <v>2</v>
      </c>
      <c r="H48">
        <v>1</v>
      </c>
      <c r="J48">
        <v>1</v>
      </c>
    </row>
    <row r="49" spans="1:10">
      <c r="A49" t="s">
        <v>234</v>
      </c>
      <c r="B49" t="s">
        <v>235</v>
      </c>
      <c r="C49" t="s">
        <v>236</v>
      </c>
      <c r="D49" t="s">
        <v>234</v>
      </c>
      <c r="E49" t="s">
        <v>205</v>
      </c>
      <c r="F49" t="s">
        <v>206</v>
      </c>
      <c r="G49">
        <v>2</v>
      </c>
      <c r="H49">
        <v>1.5</v>
      </c>
      <c r="J49">
        <v>1.5</v>
      </c>
    </row>
    <row r="50" spans="1:10">
      <c r="A50" t="s">
        <v>238</v>
      </c>
      <c r="B50" t="s">
        <v>239</v>
      </c>
      <c r="C50" t="s">
        <v>240</v>
      </c>
      <c r="D50" t="s">
        <v>238</v>
      </c>
      <c r="E50" t="s">
        <v>205</v>
      </c>
      <c r="F50" t="s">
        <v>206</v>
      </c>
      <c r="G50">
        <v>2</v>
      </c>
      <c r="H50">
        <v>1.5</v>
      </c>
      <c r="J50">
        <v>1.5</v>
      </c>
    </row>
    <row r="51" spans="1:10">
      <c r="A51" t="s">
        <v>242</v>
      </c>
      <c r="B51" t="s">
        <v>243</v>
      </c>
      <c r="C51" t="s">
        <v>244</v>
      </c>
      <c r="D51" t="s">
        <v>242</v>
      </c>
      <c r="E51" t="s">
        <v>205</v>
      </c>
      <c r="F51" t="s">
        <v>206</v>
      </c>
      <c r="G51">
        <v>2</v>
      </c>
      <c r="H51" t="s">
        <v>1065</v>
      </c>
      <c r="I51" t="s">
        <v>1075</v>
      </c>
      <c r="J51">
        <v>1</v>
      </c>
    </row>
    <row r="52" spans="1:10">
      <c r="A52" t="s">
        <v>246</v>
      </c>
      <c r="B52" t="s">
        <v>247</v>
      </c>
      <c r="C52" t="s">
        <v>248</v>
      </c>
      <c r="D52" t="s">
        <v>246</v>
      </c>
      <c r="E52" t="s">
        <v>249</v>
      </c>
      <c r="F52" t="s">
        <v>206</v>
      </c>
      <c r="G52">
        <v>3</v>
      </c>
      <c r="H52" t="s">
        <v>1065</v>
      </c>
      <c r="I52" t="s">
        <v>1075</v>
      </c>
      <c r="J52">
        <v>3</v>
      </c>
    </row>
    <row r="53" spans="1:10">
      <c r="A53" t="s">
        <v>251</v>
      </c>
      <c r="B53" t="s">
        <v>252</v>
      </c>
      <c r="C53" t="s">
        <v>253</v>
      </c>
      <c r="D53" t="s">
        <v>251</v>
      </c>
      <c r="E53" t="s">
        <v>254</v>
      </c>
      <c r="F53" t="s">
        <v>255</v>
      </c>
      <c r="G53">
        <v>3</v>
      </c>
      <c r="H53">
        <v>1.5</v>
      </c>
      <c r="J53">
        <v>1.5</v>
      </c>
    </row>
    <row r="54" spans="1:10">
      <c r="A54" t="s">
        <v>257</v>
      </c>
      <c r="B54" t="s">
        <v>258</v>
      </c>
      <c r="C54" t="s">
        <v>259</v>
      </c>
      <c r="D54" t="s">
        <v>257</v>
      </c>
      <c r="E54" t="s">
        <v>254</v>
      </c>
      <c r="F54" t="s">
        <v>255</v>
      </c>
      <c r="G54">
        <v>3</v>
      </c>
      <c r="H54" t="s">
        <v>1065</v>
      </c>
      <c r="I54" t="s">
        <v>1075</v>
      </c>
      <c r="J54">
        <v>3</v>
      </c>
    </row>
    <row r="55" spans="1:10">
      <c r="A55" t="s">
        <v>261</v>
      </c>
      <c r="B55" t="s">
        <v>262</v>
      </c>
      <c r="C55" t="s">
        <v>263</v>
      </c>
      <c r="D55" t="s">
        <v>261</v>
      </c>
      <c r="E55" t="s">
        <v>254</v>
      </c>
      <c r="F55" t="s">
        <v>255</v>
      </c>
      <c r="G55">
        <v>2</v>
      </c>
      <c r="H55" t="s">
        <v>1065</v>
      </c>
      <c r="I55" t="s">
        <v>1075</v>
      </c>
      <c r="J55">
        <v>1.5</v>
      </c>
    </row>
    <row r="56" spans="1:10">
      <c r="A56" t="s">
        <v>265</v>
      </c>
      <c r="B56" t="s">
        <v>266</v>
      </c>
      <c r="C56" t="s">
        <v>267</v>
      </c>
      <c r="D56" t="s">
        <v>265</v>
      </c>
      <c r="E56" t="s">
        <v>268</v>
      </c>
      <c r="F56" t="s">
        <v>269</v>
      </c>
      <c r="G56">
        <v>1</v>
      </c>
      <c r="H56" t="s">
        <v>1065</v>
      </c>
      <c r="I56" t="s">
        <v>1068</v>
      </c>
      <c r="J56">
        <v>1</v>
      </c>
    </row>
    <row r="57" spans="1:10">
      <c r="A57" t="s">
        <v>272</v>
      </c>
      <c r="B57" t="s">
        <v>273</v>
      </c>
      <c r="C57" t="s">
        <v>274</v>
      </c>
      <c r="D57" t="s">
        <v>272</v>
      </c>
      <c r="E57" t="s">
        <v>268</v>
      </c>
      <c r="F57" t="s">
        <v>269</v>
      </c>
      <c r="G57">
        <v>1</v>
      </c>
      <c r="H57">
        <v>1</v>
      </c>
      <c r="J57">
        <v>1</v>
      </c>
    </row>
    <row r="58" spans="1:10">
      <c r="A58" t="s">
        <v>276</v>
      </c>
      <c r="B58" t="s">
        <v>277</v>
      </c>
      <c r="C58" t="s">
        <v>278</v>
      </c>
      <c r="D58" t="s">
        <v>276</v>
      </c>
      <c r="E58" t="s">
        <v>268</v>
      </c>
      <c r="F58" t="s">
        <v>269</v>
      </c>
      <c r="G58">
        <v>3</v>
      </c>
      <c r="H58">
        <v>2</v>
      </c>
      <c r="I58" t="s">
        <v>1072</v>
      </c>
      <c r="J58">
        <v>2.5</v>
      </c>
    </row>
    <row r="59" spans="1:10">
      <c r="A59" s="2" t="s">
        <v>280</v>
      </c>
      <c r="B59" s="2" t="s">
        <v>281</v>
      </c>
      <c r="C59" s="2" t="s">
        <v>282</v>
      </c>
      <c r="D59" s="2" t="s">
        <v>280</v>
      </c>
      <c r="E59" s="2" t="s">
        <v>268</v>
      </c>
      <c r="F59" s="2" t="s">
        <v>269</v>
      </c>
      <c r="G59">
        <v>1</v>
      </c>
      <c r="H59">
        <v>1</v>
      </c>
      <c r="J59">
        <v>1</v>
      </c>
    </row>
    <row r="60" spans="1:10">
      <c r="A60" t="s">
        <v>284</v>
      </c>
      <c r="B60" t="s">
        <v>285</v>
      </c>
      <c r="C60" t="s">
        <v>286</v>
      </c>
      <c r="D60" t="s">
        <v>284</v>
      </c>
      <c r="E60" t="s">
        <v>287</v>
      </c>
      <c r="F60" t="s">
        <v>288</v>
      </c>
      <c r="G60">
        <v>2</v>
      </c>
      <c r="H60">
        <v>1.5</v>
      </c>
      <c r="J60">
        <v>1.5</v>
      </c>
    </row>
    <row r="61" spans="1:10">
      <c r="A61" t="s">
        <v>291</v>
      </c>
      <c r="B61" t="s">
        <v>292</v>
      </c>
      <c r="C61" t="s">
        <v>293</v>
      </c>
      <c r="D61" t="s">
        <v>291</v>
      </c>
      <c r="E61" t="s">
        <v>287</v>
      </c>
      <c r="F61" t="s">
        <v>288</v>
      </c>
      <c r="G61">
        <v>3</v>
      </c>
      <c r="H61">
        <v>2</v>
      </c>
      <c r="I61" t="s">
        <v>1072</v>
      </c>
      <c r="J61">
        <v>3</v>
      </c>
    </row>
    <row r="62" spans="1:10">
      <c r="A62" t="s">
        <v>295</v>
      </c>
      <c r="B62" t="s">
        <v>296</v>
      </c>
      <c r="C62" t="s">
        <v>297</v>
      </c>
      <c r="D62" t="s">
        <v>295</v>
      </c>
      <c r="E62" t="s">
        <v>287</v>
      </c>
      <c r="F62" t="s">
        <v>288</v>
      </c>
      <c r="G62">
        <v>3</v>
      </c>
      <c r="H62" t="s">
        <v>1065</v>
      </c>
      <c r="I62" t="s">
        <v>1068</v>
      </c>
      <c r="J62">
        <v>3</v>
      </c>
    </row>
    <row r="63" spans="1:10">
      <c r="A63" t="s">
        <v>299</v>
      </c>
      <c r="B63" t="s">
        <v>300</v>
      </c>
      <c r="C63" t="s">
        <v>301</v>
      </c>
      <c r="D63" t="s">
        <v>299</v>
      </c>
      <c r="E63" t="s">
        <v>287</v>
      </c>
      <c r="F63" t="s">
        <v>288</v>
      </c>
      <c r="G63">
        <v>1</v>
      </c>
      <c r="H63">
        <v>2</v>
      </c>
      <c r="J63">
        <v>1.5</v>
      </c>
    </row>
    <row r="64" spans="1:10">
      <c r="A64" t="s">
        <v>303</v>
      </c>
      <c r="B64" t="s">
        <v>304</v>
      </c>
      <c r="C64" t="s">
        <v>305</v>
      </c>
      <c r="D64" t="s">
        <v>303</v>
      </c>
      <c r="E64" t="s">
        <v>287</v>
      </c>
      <c r="F64" t="s">
        <v>288</v>
      </c>
      <c r="G64">
        <v>1</v>
      </c>
      <c r="H64">
        <v>1.5</v>
      </c>
      <c r="J64">
        <v>1.5</v>
      </c>
    </row>
    <row r="65" spans="1:10">
      <c r="A65" t="s">
        <v>307</v>
      </c>
      <c r="B65" t="s">
        <v>308</v>
      </c>
      <c r="C65" t="s">
        <v>309</v>
      </c>
      <c r="D65" t="s">
        <v>307</v>
      </c>
      <c r="E65" t="s">
        <v>310</v>
      </c>
      <c r="F65" t="s">
        <v>288</v>
      </c>
      <c r="G65">
        <v>3</v>
      </c>
      <c r="H65">
        <v>2</v>
      </c>
      <c r="I65" t="s">
        <v>1079</v>
      </c>
      <c r="J65">
        <v>1.5</v>
      </c>
    </row>
    <row r="66" spans="1:10">
      <c r="A66" t="s">
        <v>312</v>
      </c>
      <c r="B66" t="s">
        <v>313</v>
      </c>
      <c r="C66" t="s">
        <v>314</v>
      </c>
      <c r="D66" t="s">
        <v>312</v>
      </c>
      <c r="E66" t="s">
        <v>315</v>
      </c>
      <c r="F66" t="s">
        <v>316</v>
      </c>
      <c r="G66">
        <v>1</v>
      </c>
      <c r="H66">
        <v>1.5</v>
      </c>
      <c r="J66">
        <v>2</v>
      </c>
    </row>
    <row r="67" spans="1:10">
      <c r="A67" t="s">
        <v>319</v>
      </c>
      <c r="B67" t="s">
        <v>320</v>
      </c>
      <c r="C67" t="s">
        <v>321</v>
      </c>
      <c r="D67" t="s">
        <v>319</v>
      </c>
      <c r="E67" t="s">
        <v>322</v>
      </c>
      <c r="F67" t="s">
        <v>316</v>
      </c>
      <c r="G67">
        <v>2</v>
      </c>
      <c r="H67" t="s">
        <v>1065</v>
      </c>
      <c r="I67" t="s">
        <v>1068</v>
      </c>
      <c r="J67">
        <v>3</v>
      </c>
    </row>
    <row r="68" spans="1:10">
      <c r="A68" t="s">
        <v>324</v>
      </c>
      <c r="B68" t="s">
        <v>325</v>
      </c>
      <c r="C68" t="s">
        <v>326</v>
      </c>
      <c r="D68" t="s">
        <v>324</v>
      </c>
      <c r="E68" t="s">
        <v>322</v>
      </c>
      <c r="F68" t="s">
        <v>316</v>
      </c>
      <c r="G68">
        <v>2</v>
      </c>
      <c r="H68">
        <v>3</v>
      </c>
      <c r="I68" t="s">
        <v>1080</v>
      </c>
      <c r="J68">
        <v>2.5</v>
      </c>
    </row>
    <row r="69" spans="1:10">
      <c r="A69" t="s">
        <v>328</v>
      </c>
      <c r="B69" t="s">
        <v>329</v>
      </c>
      <c r="C69" t="s">
        <v>330</v>
      </c>
      <c r="D69" t="s">
        <v>328</v>
      </c>
      <c r="E69" t="s">
        <v>331</v>
      </c>
      <c r="F69" t="s">
        <v>316</v>
      </c>
      <c r="G69">
        <v>3</v>
      </c>
      <c r="H69">
        <v>3</v>
      </c>
      <c r="I69" t="s">
        <v>1080</v>
      </c>
      <c r="J69">
        <v>3</v>
      </c>
    </row>
    <row r="70" spans="1:10">
      <c r="A70" t="s">
        <v>333</v>
      </c>
      <c r="B70" t="s">
        <v>334</v>
      </c>
      <c r="C70" t="s">
        <v>335</v>
      </c>
      <c r="D70" t="s">
        <v>333</v>
      </c>
      <c r="E70" t="s">
        <v>331</v>
      </c>
      <c r="F70" t="s">
        <v>316</v>
      </c>
      <c r="G70">
        <v>2</v>
      </c>
      <c r="H70">
        <v>2</v>
      </c>
      <c r="J70">
        <v>2</v>
      </c>
    </row>
    <row r="71" spans="1:10">
      <c r="A71" t="s">
        <v>337</v>
      </c>
      <c r="B71" t="s">
        <v>338</v>
      </c>
      <c r="C71" t="s">
        <v>339</v>
      </c>
      <c r="D71" t="s">
        <v>337</v>
      </c>
      <c r="E71" t="s">
        <v>331</v>
      </c>
      <c r="F71" t="s">
        <v>316</v>
      </c>
      <c r="G71">
        <v>2</v>
      </c>
      <c r="H71">
        <v>2</v>
      </c>
      <c r="J71">
        <v>2.5</v>
      </c>
    </row>
    <row r="72" spans="1:10">
      <c r="A72" t="s">
        <v>341</v>
      </c>
      <c r="B72" t="s">
        <v>342</v>
      </c>
      <c r="C72" t="s">
        <v>343</v>
      </c>
      <c r="D72" t="s">
        <v>341</v>
      </c>
      <c r="E72" t="s">
        <v>331</v>
      </c>
      <c r="F72" t="s">
        <v>316</v>
      </c>
      <c r="G72">
        <v>3</v>
      </c>
      <c r="H72">
        <v>2</v>
      </c>
      <c r="J72">
        <v>2</v>
      </c>
    </row>
    <row r="73" spans="1:10">
      <c r="A73" t="s">
        <v>345</v>
      </c>
      <c r="B73" t="s">
        <v>346</v>
      </c>
      <c r="C73" t="s">
        <v>347</v>
      </c>
      <c r="D73" t="s">
        <v>345</v>
      </c>
      <c r="E73" t="s">
        <v>331</v>
      </c>
      <c r="F73" t="s">
        <v>316</v>
      </c>
      <c r="G73">
        <v>2</v>
      </c>
      <c r="H73">
        <v>2</v>
      </c>
      <c r="J73">
        <v>2</v>
      </c>
    </row>
    <row r="74" spans="1:10">
      <c r="A74" t="s">
        <v>349</v>
      </c>
      <c r="B74" t="s">
        <v>350</v>
      </c>
      <c r="C74" t="s">
        <v>350</v>
      </c>
      <c r="D74" t="s">
        <v>349</v>
      </c>
      <c r="E74" t="s">
        <v>351</v>
      </c>
      <c r="F74" t="s">
        <v>316</v>
      </c>
      <c r="G74">
        <v>3</v>
      </c>
      <c r="H74">
        <v>3</v>
      </c>
      <c r="I74" t="s">
        <v>1081</v>
      </c>
      <c r="J74">
        <v>3</v>
      </c>
    </row>
    <row r="75" spans="1:10">
      <c r="A75" t="s">
        <v>354</v>
      </c>
      <c r="B75" t="s">
        <v>355</v>
      </c>
      <c r="C75" t="s">
        <v>355</v>
      </c>
      <c r="D75" t="s">
        <v>354</v>
      </c>
      <c r="E75" t="s">
        <v>351</v>
      </c>
      <c r="F75" t="s">
        <v>316</v>
      </c>
      <c r="G75">
        <v>3</v>
      </c>
      <c r="H75">
        <v>3</v>
      </c>
      <c r="J75">
        <v>3</v>
      </c>
    </row>
    <row r="76" spans="1:10">
      <c r="A76" s="1" t="s">
        <v>357</v>
      </c>
      <c r="B76" s="1" t="s">
        <v>358</v>
      </c>
      <c r="C76" s="1" t="s">
        <v>359</v>
      </c>
      <c r="D76" s="1" t="s">
        <v>357</v>
      </c>
      <c r="E76" s="1" t="s">
        <v>351</v>
      </c>
      <c r="F76" s="1" t="s">
        <v>316</v>
      </c>
      <c r="G76">
        <v>3</v>
      </c>
      <c r="H76">
        <v>3</v>
      </c>
      <c r="J76" t="s">
        <v>1065</v>
      </c>
    </row>
    <row r="77" spans="1:10">
      <c r="A77" t="s">
        <v>361</v>
      </c>
      <c r="B77" t="s">
        <v>362</v>
      </c>
      <c r="C77" t="s">
        <v>363</v>
      </c>
      <c r="D77" t="s">
        <v>361</v>
      </c>
      <c r="E77" t="s">
        <v>351</v>
      </c>
      <c r="F77" t="s">
        <v>316</v>
      </c>
      <c r="G77">
        <v>3</v>
      </c>
      <c r="H77">
        <v>1.5</v>
      </c>
      <c r="I77" t="s">
        <v>1082</v>
      </c>
      <c r="J77">
        <v>2</v>
      </c>
    </row>
    <row r="78" spans="1:10">
      <c r="A78" t="s">
        <v>365</v>
      </c>
      <c r="B78" t="s">
        <v>366</v>
      </c>
      <c r="C78" t="s">
        <v>367</v>
      </c>
      <c r="D78" t="s">
        <v>365</v>
      </c>
      <c r="E78" t="s">
        <v>351</v>
      </c>
      <c r="F78" t="s">
        <v>316</v>
      </c>
      <c r="G78">
        <v>3</v>
      </c>
      <c r="H78">
        <v>1.5</v>
      </c>
      <c r="J78">
        <v>1.5</v>
      </c>
    </row>
    <row r="79" spans="1:10">
      <c r="A79" t="s">
        <v>369</v>
      </c>
      <c r="B79" t="s">
        <v>370</v>
      </c>
      <c r="C79" t="s">
        <v>371</v>
      </c>
      <c r="D79" t="s">
        <v>369</v>
      </c>
      <c r="E79" t="s">
        <v>351</v>
      </c>
      <c r="F79" t="s">
        <v>316</v>
      </c>
      <c r="G79">
        <v>3</v>
      </c>
      <c r="H79">
        <v>3</v>
      </c>
      <c r="J79">
        <v>3</v>
      </c>
    </row>
    <row r="80" spans="1:10">
      <c r="A80" t="s">
        <v>373</v>
      </c>
      <c r="B80" t="s">
        <v>374</v>
      </c>
      <c r="C80" t="s">
        <v>375</v>
      </c>
      <c r="D80" t="s">
        <v>373</v>
      </c>
      <c r="E80" t="s">
        <v>351</v>
      </c>
      <c r="F80" t="s">
        <v>316</v>
      </c>
      <c r="G80">
        <v>3</v>
      </c>
      <c r="H80">
        <v>2</v>
      </c>
      <c r="J80">
        <v>2</v>
      </c>
    </row>
    <row r="81" spans="1:10">
      <c r="A81" t="s">
        <v>377</v>
      </c>
      <c r="B81" t="s">
        <v>378</v>
      </c>
      <c r="C81" t="s">
        <v>379</v>
      </c>
      <c r="D81" t="s">
        <v>377</v>
      </c>
      <c r="E81" t="s">
        <v>351</v>
      </c>
      <c r="F81" t="s">
        <v>316</v>
      </c>
      <c r="G81">
        <v>3</v>
      </c>
      <c r="H81">
        <v>3</v>
      </c>
      <c r="J81">
        <v>2</v>
      </c>
    </row>
    <row r="82" spans="1:10">
      <c r="A82" t="s">
        <v>381</v>
      </c>
      <c r="B82" t="s">
        <v>382</v>
      </c>
      <c r="C82" t="s">
        <v>383</v>
      </c>
      <c r="D82" t="s">
        <v>381</v>
      </c>
      <c r="E82" t="s">
        <v>351</v>
      </c>
      <c r="F82" t="s">
        <v>316</v>
      </c>
      <c r="G82">
        <v>3</v>
      </c>
      <c r="H82">
        <v>2</v>
      </c>
      <c r="J82">
        <v>2.5</v>
      </c>
    </row>
    <row r="83" spans="1:10">
      <c r="A83" t="s">
        <v>385</v>
      </c>
      <c r="B83" t="s">
        <v>386</v>
      </c>
      <c r="C83" t="s">
        <v>387</v>
      </c>
      <c r="D83" t="s">
        <v>385</v>
      </c>
      <c r="E83" t="s">
        <v>351</v>
      </c>
      <c r="F83" t="s">
        <v>316</v>
      </c>
      <c r="G83">
        <v>3</v>
      </c>
      <c r="H83">
        <v>3</v>
      </c>
      <c r="J83">
        <v>3</v>
      </c>
    </row>
    <row r="84" spans="1:10">
      <c r="A84" t="s">
        <v>389</v>
      </c>
      <c r="B84" t="s">
        <v>390</v>
      </c>
      <c r="C84" t="s">
        <v>391</v>
      </c>
      <c r="D84" t="s">
        <v>389</v>
      </c>
      <c r="E84" t="s">
        <v>351</v>
      </c>
      <c r="F84" t="s">
        <v>316</v>
      </c>
      <c r="G84">
        <v>3</v>
      </c>
      <c r="H84">
        <v>3</v>
      </c>
      <c r="J84" t="s">
        <v>1065</v>
      </c>
    </row>
    <row r="85" spans="1:10">
      <c r="A85" t="s">
        <v>393</v>
      </c>
      <c r="B85" t="s">
        <v>394</v>
      </c>
      <c r="C85" t="s">
        <v>395</v>
      </c>
      <c r="D85" t="s">
        <v>393</v>
      </c>
      <c r="E85" t="s">
        <v>351</v>
      </c>
      <c r="F85" t="s">
        <v>316</v>
      </c>
      <c r="G85">
        <v>3</v>
      </c>
      <c r="H85">
        <v>3</v>
      </c>
      <c r="J85">
        <v>2</v>
      </c>
    </row>
    <row r="86" spans="1:10">
      <c r="A86" t="s">
        <v>397</v>
      </c>
      <c r="B86" t="s">
        <v>398</v>
      </c>
      <c r="C86" t="s">
        <v>399</v>
      </c>
      <c r="D86" t="s">
        <v>397</v>
      </c>
      <c r="E86" t="s">
        <v>400</v>
      </c>
      <c r="F86" t="s">
        <v>316</v>
      </c>
      <c r="G86">
        <v>2</v>
      </c>
      <c r="H86">
        <v>2</v>
      </c>
      <c r="J86">
        <v>2</v>
      </c>
    </row>
    <row r="87" spans="1:10">
      <c r="A87" s="3" t="s">
        <v>403</v>
      </c>
      <c r="B87" s="3" t="s">
        <v>404</v>
      </c>
      <c r="C87" s="3" t="s">
        <v>405</v>
      </c>
      <c r="D87" s="3" t="s">
        <v>403</v>
      </c>
      <c r="E87" s="3" t="s">
        <v>400</v>
      </c>
      <c r="F87" s="3" t="s">
        <v>316</v>
      </c>
      <c r="G87">
        <v>2</v>
      </c>
      <c r="H87">
        <v>2</v>
      </c>
      <c r="J87">
        <v>2</v>
      </c>
    </row>
    <row r="88" spans="1:10">
      <c r="A88" t="s">
        <v>407</v>
      </c>
      <c r="B88" t="s">
        <v>408</v>
      </c>
      <c r="C88" t="s">
        <v>409</v>
      </c>
      <c r="D88" t="s">
        <v>407</v>
      </c>
      <c r="E88" t="s">
        <v>400</v>
      </c>
      <c r="F88" t="s">
        <v>316</v>
      </c>
      <c r="G88">
        <v>2</v>
      </c>
      <c r="H88">
        <v>1.5</v>
      </c>
      <c r="J88">
        <v>2</v>
      </c>
    </row>
    <row r="89" spans="1:10">
      <c r="A89" t="s">
        <v>411</v>
      </c>
      <c r="B89" t="s">
        <v>412</v>
      </c>
      <c r="C89" t="s">
        <v>413</v>
      </c>
      <c r="D89" t="s">
        <v>411</v>
      </c>
      <c r="E89" t="s">
        <v>400</v>
      </c>
      <c r="F89" t="s">
        <v>316</v>
      </c>
      <c r="G89">
        <v>3</v>
      </c>
      <c r="H89">
        <v>1.5</v>
      </c>
      <c r="J89">
        <v>1.5</v>
      </c>
    </row>
    <row r="90" spans="1:10">
      <c r="A90" t="s">
        <v>415</v>
      </c>
      <c r="B90" t="s">
        <v>416</v>
      </c>
      <c r="C90" t="s">
        <v>417</v>
      </c>
      <c r="D90" t="s">
        <v>415</v>
      </c>
      <c r="E90" t="s">
        <v>400</v>
      </c>
      <c r="F90" t="s">
        <v>316</v>
      </c>
      <c r="G90">
        <v>2</v>
      </c>
      <c r="H90">
        <v>1.5</v>
      </c>
      <c r="I90" t="s">
        <v>1083</v>
      </c>
      <c r="J90">
        <v>2.5</v>
      </c>
    </row>
    <row r="91" spans="1:10">
      <c r="A91" t="s">
        <v>419</v>
      </c>
      <c r="B91" t="s">
        <v>420</v>
      </c>
      <c r="C91" t="s">
        <v>421</v>
      </c>
      <c r="D91" t="s">
        <v>419</v>
      </c>
      <c r="E91" t="s">
        <v>400</v>
      </c>
      <c r="F91" t="s">
        <v>316</v>
      </c>
      <c r="G91">
        <v>2</v>
      </c>
      <c r="H91">
        <v>1.5</v>
      </c>
      <c r="J91">
        <v>1.5</v>
      </c>
    </row>
    <row r="92" spans="1:10">
      <c r="A92" t="s">
        <v>423</v>
      </c>
      <c r="B92" t="s">
        <v>424</v>
      </c>
      <c r="C92" t="s">
        <v>425</v>
      </c>
      <c r="D92" t="s">
        <v>423</v>
      </c>
      <c r="E92" t="s">
        <v>400</v>
      </c>
      <c r="F92" t="s">
        <v>316</v>
      </c>
      <c r="G92">
        <v>2</v>
      </c>
      <c r="H92">
        <v>1.5</v>
      </c>
      <c r="J92">
        <v>1.5</v>
      </c>
    </row>
    <row r="93" spans="1:10">
      <c r="A93" t="s">
        <v>427</v>
      </c>
      <c r="B93" t="s">
        <v>428</v>
      </c>
      <c r="C93" t="s">
        <v>429</v>
      </c>
      <c r="D93" t="s">
        <v>427</v>
      </c>
      <c r="E93" t="s">
        <v>400</v>
      </c>
      <c r="F93" t="s">
        <v>316</v>
      </c>
      <c r="G93">
        <v>2</v>
      </c>
      <c r="H93">
        <v>1.5</v>
      </c>
      <c r="I93" t="s">
        <v>1084</v>
      </c>
      <c r="J93">
        <v>3</v>
      </c>
    </row>
    <row r="94" spans="1:10">
      <c r="A94" t="s">
        <v>431</v>
      </c>
      <c r="B94" t="s">
        <v>432</v>
      </c>
      <c r="C94" t="s">
        <v>433</v>
      </c>
      <c r="D94" t="s">
        <v>431</v>
      </c>
      <c r="E94" t="s">
        <v>400</v>
      </c>
      <c r="F94" t="s">
        <v>316</v>
      </c>
      <c r="G94">
        <v>3</v>
      </c>
      <c r="H94">
        <v>3</v>
      </c>
      <c r="J94">
        <v>3</v>
      </c>
    </row>
    <row r="95" spans="1:10">
      <c r="A95" s="3" t="s">
        <v>436</v>
      </c>
      <c r="B95" s="3" t="s">
        <v>437</v>
      </c>
      <c r="C95" s="3" t="s">
        <v>438</v>
      </c>
      <c r="D95" s="3" t="s">
        <v>436</v>
      </c>
      <c r="E95" s="3" t="s">
        <v>400</v>
      </c>
      <c r="F95" s="3" t="s">
        <v>316</v>
      </c>
      <c r="G95">
        <v>3</v>
      </c>
      <c r="H95" t="s">
        <v>1065</v>
      </c>
      <c r="I95" t="s">
        <v>1074</v>
      </c>
      <c r="J95">
        <v>3</v>
      </c>
    </row>
    <row r="96" spans="1:10">
      <c r="A96" t="s">
        <v>440</v>
      </c>
      <c r="B96" t="s">
        <v>441</v>
      </c>
      <c r="C96" t="s">
        <v>442</v>
      </c>
      <c r="D96" t="s">
        <v>440</v>
      </c>
      <c r="E96" t="s">
        <v>400</v>
      </c>
      <c r="F96" t="s">
        <v>316</v>
      </c>
      <c r="G96">
        <v>3</v>
      </c>
      <c r="H96">
        <v>3</v>
      </c>
      <c r="I96" t="s">
        <v>1085</v>
      </c>
      <c r="J96">
        <v>2.5</v>
      </c>
    </row>
    <row r="97" spans="1:10">
      <c r="A97" t="s">
        <v>444</v>
      </c>
      <c r="B97" t="s">
        <v>445</v>
      </c>
      <c r="C97" t="s">
        <v>446</v>
      </c>
      <c r="D97" t="s">
        <v>444</v>
      </c>
      <c r="E97" t="s">
        <v>400</v>
      </c>
      <c r="F97" t="s">
        <v>316</v>
      </c>
      <c r="G97">
        <v>3</v>
      </c>
      <c r="H97">
        <v>3</v>
      </c>
      <c r="J97">
        <v>3</v>
      </c>
    </row>
    <row r="98" spans="1:10">
      <c r="A98" t="s">
        <v>448</v>
      </c>
      <c r="B98" t="s">
        <v>449</v>
      </c>
      <c r="C98" t="s">
        <v>450</v>
      </c>
      <c r="D98" t="s">
        <v>448</v>
      </c>
      <c r="E98" t="s">
        <v>400</v>
      </c>
      <c r="F98" t="s">
        <v>316</v>
      </c>
      <c r="G98">
        <v>3</v>
      </c>
      <c r="H98">
        <v>3</v>
      </c>
      <c r="J98">
        <v>3</v>
      </c>
    </row>
    <row r="99" spans="1:10">
      <c r="A99" t="s">
        <v>452</v>
      </c>
      <c r="B99" t="s">
        <v>453</v>
      </c>
      <c r="C99" t="s">
        <v>454</v>
      </c>
      <c r="D99" t="s">
        <v>452</v>
      </c>
      <c r="E99" t="s">
        <v>400</v>
      </c>
      <c r="F99" t="s">
        <v>316</v>
      </c>
      <c r="G99">
        <v>3</v>
      </c>
      <c r="H99">
        <v>2</v>
      </c>
      <c r="I99" t="s">
        <v>1086</v>
      </c>
      <c r="J99">
        <v>3</v>
      </c>
    </row>
    <row r="100" spans="1:10">
      <c r="A100" t="s">
        <v>456</v>
      </c>
      <c r="B100" t="s">
        <v>457</v>
      </c>
      <c r="C100" t="s">
        <v>458</v>
      </c>
      <c r="D100" t="s">
        <v>456</v>
      </c>
      <c r="E100" t="s">
        <v>400</v>
      </c>
      <c r="F100" t="s">
        <v>316</v>
      </c>
      <c r="G100">
        <v>3</v>
      </c>
      <c r="H100" t="s">
        <v>1087</v>
      </c>
      <c r="I100" t="s">
        <v>1088</v>
      </c>
      <c r="J100">
        <v>3</v>
      </c>
    </row>
    <row r="101" spans="1:10">
      <c r="A101" s="3" t="s">
        <v>460</v>
      </c>
      <c r="B101" s="3" t="s">
        <v>461</v>
      </c>
      <c r="C101" s="3" t="s">
        <v>462</v>
      </c>
      <c r="D101" s="3" t="s">
        <v>460</v>
      </c>
      <c r="E101" s="3" t="s">
        <v>400</v>
      </c>
      <c r="F101" s="3" t="s">
        <v>316</v>
      </c>
      <c r="G101">
        <v>3</v>
      </c>
      <c r="H101" t="s">
        <v>1065</v>
      </c>
      <c r="I101" t="s">
        <v>1068</v>
      </c>
      <c r="J101">
        <v>3</v>
      </c>
    </row>
    <row r="102" spans="1:10">
      <c r="A102" s="3" t="s">
        <v>464</v>
      </c>
      <c r="B102" s="3" t="s">
        <v>465</v>
      </c>
      <c r="C102" s="3" t="s">
        <v>466</v>
      </c>
      <c r="D102" s="3" t="s">
        <v>464</v>
      </c>
      <c r="E102" s="3" t="s">
        <v>467</v>
      </c>
      <c r="F102" s="3" t="s">
        <v>316</v>
      </c>
      <c r="G102">
        <v>3</v>
      </c>
    </row>
    <row r="103" spans="1:10">
      <c r="A103" s="3" t="s">
        <v>469</v>
      </c>
      <c r="B103" s="3" t="s">
        <v>470</v>
      </c>
      <c r="C103" s="3" t="s">
        <v>470</v>
      </c>
      <c r="D103" s="3" t="s">
        <v>469</v>
      </c>
      <c r="E103" s="3" t="s">
        <v>467</v>
      </c>
      <c r="F103" s="3" t="s">
        <v>316</v>
      </c>
      <c r="G103">
        <v>3</v>
      </c>
    </row>
    <row r="104" spans="1:10">
      <c r="A104" t="s">
        <v>472</v>
      </c>
      <c r="B104" t="s">
        <v>473</v>
      </c>
      <c r="C104" t="s">
        <v>474</v>
      </c>
      <c r="D104" t="s">
        <v>472</v>
      </c>
      <c r="E104" t="s">
        <v>467</v>
      </c>
      <c r="F104" t="s">
        <v>316</v>
      </c>
      <c r="G104">
        <v>3</v>
      </c>
    </row>
    <row r="105" spans="1:10">
      <c r="A105" s="4" t="s">
        <v>476</v>
      </c>
      <c r="B105" s="4" t="s">
        <v>477</v>
      </c>
      <c r="C105" s="4" t="s">
        <v>478</v>
      </c>
      <c r="D105" s="4" t="s">
        <v>476</v>
      </c>
      <c r="E105" s="4" t="s">
        <v>479</v>
      </c>
      <c r="F105" s="4" t="s">
        <v>480</v>
      </c>
      <c r="G105">
        <v>1</v>
      </c>
    </row>
    <row r="106" spans="1:10">
      <c r="A106" t="s">
        <v>482</v>
      </c>
      <c r="B106" t="s">
        <v>483</v>
      </c>
      <c r="C106" t="s">
        <v>484</v>
      </c>
      <c r="D106" t="s">
        <v>482</v>
      </c>
      <c r="E106" t="s">
        <v>479</v>
      </c>
      <c r="F106" t="s">
        <v>480</v>
      </c>
      <c r="G106">
        <v>1</v>
      </c>
    </row>
    <row r="107" spans="1:10">
      <c r="A107" t="s">
        <v>487</v>
      </c>
      <c r="B107" t="s">
        <v>488</v>
      </c>
      <c r="C107" t="s">
        <v>489</v>
      </c>
      <c r="D107" t="s">
        <v>487</v>
      </c>
      <c r="E107" t="s">
        <v>479</v>
      </c>
      <c r="F107" t="s">
        <v>480</v>
      </c>
      <c r="G107">
        <v>1</v>
      </c>
    </row>
    <row r="108" spans="1:10">
      <c r="A108" t="s">
        <v>491</v>
      </c>
      <c r="B108" t="s">
        <v>492</v>
      </c>
      <c r="C108" t="s">
        <v>493</v>
      </c>
      <c r="D108" t="s">
        <v>491</v>
      </c>
      <c r="E108" t="s">
        <v>479</v>
      </c>
      <c r="F108" t="s">
        <v>480</v>
      </c>
      <c r="G108">
        <v>1</v>
      </c>
    </row>
    <row r="109" spans="1:10">
      <c r="A109" t="s">
        <v>495</v>
      </c>
      <c r="B109" t="s">
        <v>496</v>
      </c>
      <c r="C109" t="s">
        <v>497</v>
      </c>
      <c r="D109" t="s">
        <v>495</v>
      </c>
      <c r="E109" t="s">
        <v>479</v>
      </c>
      <c r="F109" t="s">
        <v>480</v>
      </c>
      <c r="G109">
        <v>3</v>
      </c>
    </row>
    <row r="110" spans="1:10">
      <c r="A110" t="s">
        <v>499</v>
      </c>
      <c r="B110" t="s">
        <v>500</v>
      </c>
      <c r="C110" t="s">
        <v>501</v>
      </c>
      <c r="D110" t="s">
        <v>499</v>
      </c>
      <c r="E110" t="s">
        <v>502</v>
      </c>
      <c r="F110" t="s">
        <v>503</v>
      </c>
      <c r="G110">
        <v>3</v>
      </c>
    </row>
    <row r="111" spans="1:10">
      <c r="A111" t="s">
        <v>506</v>
      </c>
      <c r="B111" t="s">
        <v>507</v>
      </c>
      <c r="C111" t="s">
        <v>508</v>
      </c>
      <c r="D111" t="s">
        <v>506</v>
      </c>
      <c r="E111" t="s">
        <v>509</v>
      </c>
      <c r="F111" t="s">
        <v>510</v>
      </c>
      <c r="G111">
        <v>1</v>
      </c>
    </row>
    <row r="112" spans="1:10">
      <c r="A112" t="s">
        <v>512</v>
      </c>
      <c r="B112" t="s">
        <v>513</v>
      </c>
      <c r="C112" t="s">
        <v>514</v>
      </c>
      <c r="D112" t="s">
        <v>512</v>
      </c>
      <c r="E112" t="s">
        <v>515</v>
      </c>
      <c r="F112" t="s">
        <v>510</v>
      </c>
      <c r="G112">
        <v>1</v>
      </c>
    </row>
    <row r="113" spans="1:7">
      <c r="A113" t="s">
        <v>517</v>
      </c>
      <c r="B113" t="s">
        <v>518</v>
      </c>
      <c r="C113" t="s">
        <v>519</v>
      </c>
      <c r="D113" t="s">
        <v>517</v>
      </c>
      <c r="E113" t="s">
        <v>515</v>
      </c>
      <c r="F113" t="s">
        <v>510</v>
      </c>
      <c r="G113">
        <v>1</v>
      </c>
    </row>
    <row r="114" spans="1:7">
      <c r="A114" t="s">
        <v>522</v>
      </c>
      <c r="B114" t="s">
        <v>523</v>
      </c>
      <c r="C114" t="s">
        <v>524</v>
      </c>
      <c r="D114" t="s">
        <v>522</v>
      </c>
      <c r="E114" t="s">
        <v>515</v>
      </c>
      <c r="F114" t="s">
        <v>510</v>
      </c>
      <c r="G114">
        <v>1</v>
      </c>
    </row>
    <row r="115" spans="1:7">
      <c r="A115" t="s">
        <v>526</v>
      </c>
      <c r="B115" t="s">
        <v>527</v>
      </c>
      <c r="C115" t="s">
        <v>528</v>
      </c>
      <c r="D115" t="s">
        <v>526</v>
      </c>
      <c r="E115" t="s">
        <v>515</v>
      </c>
      <c r="F115" t="s">
        <v>510</v>
      </c>
      <c r="G115">
        <v>2</v>
      </c>
    </row>
    <row r="116" spans="1:7">
      <c r="A116" t="s">
        <v>530</v>
      </c>
      <c r="B116" t="s">
        <v>531</v>
      </c>
      <c r="C116" t="s">
        <v>532</v>
      </c>
      <c r="D116" t="s">
        <v>530</v>
      </c>
      <c r="E116" t="s">
        <v>515</v>
      </c>
      <c r="F116" t="s">
        <v>510</v>
      </c>
      <c r="G116">
        <v>3</v>
      </c>
    </row>
    <row r="117" spans="1:7">
      <c r="A117" s="3" t="s">
        <v>534</v>
      </c>
      <c r="B117" s="3" t="s">
        <v>535</v>
      </c>
      <c r="C117" s="3" t="s">
        <v>536</v>
      </c>
      <c r="D117" s="3" t="s">
        <v>534</v>
      </c>
      <c r="E117" s="3" t="s">
        <v>515</v>
      </c>
      <c r="F117" s="3" t="s">
        <v>510</v>
      </c>
      <c r="G117">
        <v>2</v>
      </c>
    </row>
    <row r="118" spans="1:7">
      <c r="A118" t="s">
        <v>538</v>
      </c>
      <c r="B118" t="s">
        <v>539</v>
      </c>
      <c r="C118" t="s">
        <v>540</v>
      </c>
      <c r="D118" t="s">
        <v>538</v>
      </c>
      <c r="E118" t="s">
        <v>541</v>
      </c>
      <c r="F118" t="s">
        <v>542</v>
      </c>
      <c r="G118">
        <v>3</v>
      </c>
    </row>
    <row r="119" spans="1:7">
      <c r="A119" t="s">
        <v>544</v>
      </c>
      <c r="B119" t="s">
        <v>545</v>
      </c>
      <c r="C119" t="s">
        <v>546</v>
      </c>
      <c r="D119" t="s">
        <v>544</v>
      </c>
      <c r="E119" t="s">
        <v>547</v>
      </c>
      <c r="F119" t="s">
        <v>542</v>
      </c>
      <c r="G119">
        <v>3</v>
      </c>
    </row>
    <row r="120" spans="1:7">
      <c r="A120" t="s">
        <v>550</v>
      </c>
      <c r="B120" t="s">
        <v>551</v>
      </c>
      <c r="C120" t="s">
        <v>552</v>
      </c>
      <c r="D120" t="s">
        <v>550</v>
      </c>
      <c r="E120" t="s">
        <v>553</v>
      </c>
      <c r="F120" t="s">
        <v>554</v>
      </c>
      <c r="G120">
        <v>1</v>
      </c>
    </row>
    <row r="121" spans="1:7">
      <c r="A121" s="3" t="s">
        <v>557</v>
      </c>
      <c r="B121" s="3" t="s">
        <v>558</v>
      </c>
      <c r="C121" s="3" t="s">
        <v>559</v>
      </c>
      <c r="D121" s="3" t="s">
        <v>557</v>
      </c>
      <c r="E121" s="3" t="s">
        <v>560</v>
      </c>
      <c r="F121" s="3" t="s">
        <v>554</v>
      </c>
      <c r="G121">
        <v>3</v>
      </c>
    </row>
    <row r="122" spans="1:7">
      <c r="A122" s="3" t="s">
        <v>562</v>
      </c>
      <c r="B122" s="3" t="s">
        <v>563</v>
      </c>
      <c r="C122" s="3" t="s">
        <v>564</v>
      </c>
      <c r="D122" s="3" t="s">
        <v>562</v>
      </c>
      <c r="E122" s="3" t="s">
        <v>565</v>
      </c>
      <c r="F122" s="3" t="s">
        <v>566</v>
      </c>
      <c r="G122">
        <v>3</v>
      </c>
    </row>
    <row r="123" spans="1:7">
      <c r="A123" t="s">
        <v>568</v>
      </c>
      <c r="B123" t="s">
        <v>569</v>
      </c>
      <c r="C123" t="s">
        <v>570</v>
      </c>
      <c r="D123" t="s">
        <v>568</v>
      </c>
      <c r="E123" t="s">
        <v>571</v>
      </c>
      <c r="F123" t="s">
        <v>572</v>
      </c>
      <c r="G123">
        <v>3</v>
      </c>
    </row>
    <row r="124" spans="1:7">
      <c r="A124" t="s">
        <v>575</v>
      </c>
      <c r="B124" t="s">
        <v>576</v>
      </c>
      <c r="C124" t="s">
        <v>577</v>
      </c>
      <c r="D124" t="s">
        <v>575</v>
      </c>
      <c r="E124" t="s">
        <v>571</v>
      </c>
      <c r="F124" t="s">
        <v>572</v>
      </c>
      <c r="G124">
        <v>1</v>
      </c>
    </row>
    <row r="125" spans="1:7">
      <c r="A125" t="s">
        <v>579</v>
      </c>
      <c r="B125" t="s">
        <v>580</v>
      </c>
      <c r="C125" t="s">
        <v>581</v>
      </c>
      <c r="D125" t="s">
        <v>579</v>
      </c>
      <c r="E125" t="s">
        <v>571</v>
      </c>
      <c r="F125" t="s">
        <v>572</v>
      </c>
      <c r="G125">
        <v>1</v>
      </c>
    </row>
    <row r="126" spans="1:7">
      <c r="A126" t="s">
        <v>583</v>
      </c>
      <c r="B126" t="s">
        <v>584</v>
      </c>
      <c r="C126" t="s">
        <v>585</v>
      </c>
      <c r="D126" t="s">
        <v>583</v>
      </c>
      <c r="E126" t="s">
        <v>571</v>
      </c>
      <c r="F126" t="s">
        <v>572</v>
      </c>
      <c r="G126">
        <v>1</v>
      </c>
    </row>
    <row r="127" spans="1:7">
      <c r="A127" s="3" t="s">
        <v>587</v>
      </c>
      <c r="B127" s="3" t="s">
        <v>588</v>
      </c>
      <c r="C127" s="3" t="s">
        <v>589</v>
      </c>
      <c r="D127" s="3" t="s">
        <v>587</v>
      </c>
      <c r="E127" s="3" t="s">
        <v>571</v>
      </c>
      <c r="F127" s="3" t="s">
        <v>572</v>
      </c>
      <c r="G127">
        <v>1</v>
      </c>
    </row>
    <row r="128" spans="1:7">
      <c r="A128" t="s">
        <v>591</v>
      </c>
      <c r="B128" t="s">
        <v>592</v>
      </c>
      <c r="C128" t="s">
        <v>593</v>
      </c>
      <c r="D128" t="s">
        <v>591</v>
      </c>
      <c r="E128" t="s">
        <v>571</v>
      </c>
      <c r="F128" t="s">
        <v>572</v>
      </c>
      <c r="G128">
        <v>1</v>
      </c>
    </row>
    <row r="129" spans="1:7">
      <c r="A129" t="s">
        <v>595</v>
      </c>
      <c r="B129" t="s">
        <v>596</v>
      </c>
      <c r="C129" t="s">
        <v>597</v>
      </c>
      <c r="D129" t="s">
        <v>595</v>
      </c>
      <c r="E129" t="s">
        <v>598</v>
      </c>
      <c r="F129" t="s">
        <v>599</v>
      </c>
      <c r="G129">
        <v>1</v>
      </c>
    </row>
    <row r="130" spans="1:7">
      <c r="A130" t="s">
        <v>602</v>
      </c>
      <c r="B130" t="s">
        <v>603</v>
      </c>
      <c r="C130" t="s">
        <v>603</v>
      </c>
      <c r="D130" t="s">
        <v>602</v>
      </c>
      <c r="E130" t="s">
        <v>598</v>
      </c>
      <c r="F130" t="s">
        <v>599</v>
      </c>
      <c r="G130">
        <v>2</v>
      </c>
    </row>
    <row r="131" spans="1:7">
      <c r="A131" t="s">
        <v>605</v>
      </c>
      <c r="B131" t="s">
        <v>606</v>
      </c>
      <c r="C131" t="s">
        <v>607</v>
      </c>
      <c r="D131" t="s">
        <v>605</v>
      </c>
      <c r="E131" t="s">
        <v>598</v>
      </c>
      <c r="F131" t="s">
        <v>599</v>
      </c>
      <c r="G131">
        <v>2</v>
      </c>
    </row>
    <row r="132" spans="1:7">
      <c r="A132" t="s">
        <v>609</v>
      </c>
      <c r="B132" t="s">
        <v>610</v>
      </c>
      <c r="C132" t="s">
        <v>611</v>
      </c>
      <c r="D132" t="s">
        <v>609</v>
      </c>
      <c r="E132" t="s">
        <v>612</v>
      </c>
      <c r="F132" t="s">
        <v>599</v>
      </c>
      <c r="G132">
        <v>3</v>
      </c>
    </row>
    <row r="133" spans="1:7">
      <c r="A133" t="s">
        <v>614</v>
      </c>
      <c r="B133" t="s">
        <v>615</v>
      </c>
      <c r="C133" t="s">
        <v>616</v>
      </c>
      <c r="D133" t="s">
        <v>614</v>
      </c>
      <c r="E133" t="s">
        <v>612</v>
      </c>
      <c r="F133" t="s">
        <v>599</v>
      </c>
      <c r="G133">
        <v>3</v>
      </c>
    </row>
    <row r="134" spans="1:7">
      <c r="A134" t="s">
        <v>618</v>
      </c>
      <c r="B134" t="s">
        <v>619</v>
      </c>
      <c r="C134" t="s">
        <v>620</v>
      </c>
      <c r="D134" t="s">
        <v>618</v>
      </c>
      <c r="E134" t="s">
        <v>612</v>
      </c>
      <c r="F134" t="s">
        <v>599</v>
      </c>
      <c r="G134">
        <v>3</v>
      </c>
    </row>
    <row r="135" spans="1:7">
      <c r="A135" t="s">
        <v>622</v>
      </c>
      <c r="B135" t="s">
        <v>623</v>
      </c>
      <c r="C135" t="s">
        <v>624</v>
      </c>
      <c r="D135" t="s">
        <v>622</v>
      </c>
      <c r="E135" t="s">
        <v>625</v>
      </c>
      <c r="F135" t="s">
        <v>599</v>
      </c>
      <c r="G135">
        <v>3</v>
      </c>
    </row>
    <row r="136" spans="1:7">
      <c r="A136" t="s">
        <v>627</v>
      </c>
      <c r="B136" t="s">
        <v>628</v>
      </c>
      <c r="C136" t="s">
        <v>629</v>
      </c>
      <c r="D136" t="s">
        <v>627</v>
      </c>
      <c r="E136" t="s">
        <v>625</v>
      </c>
      <c r="F136" t="s">
        <v>599</v>
      </c>
      <c r="G136">
        <v>3</v>
      </c>
    </row>
    <row r="137" spans="1:7">
      <c r="A137" t="s">
        <v>632</v>
      </c>
      <c r="B137" t="s">
        <v>633</v>
      </c>
      <c r="C137" t="s">
        <v>634</v>
      </c>
      <c r="D137" t="s">
        <v>632</v>
      </c>
      <c r="E137" t="s">
        <v>625</v>
      </c>
      <c r="F137" t="s">
        <v>599</v>
      </c>
      <c r="G137">
        <v>2</v>
      </c>
    </row>
    <row r="138" spans="1:7">
      <c r="A138" t="s">
        <v>636</v>
      </c>
      <c r="B138" t="s">
        <v>637</v>
      </c>
      <c r="C138" t="s">
        <v>638</v>
      </c>
      <c r="D138" t="s">
        <v>636</v>
      </c>
      <c r="E138" t="s">
        <v>625</v>
      </c>
      <c r="F138" t="s">
        <v>599</v>
      </c>
      <c r="G138">
        <v>2</v>
      </c>
    </row>
    <row r="139" spans="1:7">
      <c r="A139" t="s">
        <v>640</v>
      </c>
      <c r="B139" t="s">
        <v>641</v>
      </c>
      <c r="C139" t="s">
        <v>642</v>
      </c>
      <c r="D139" t="s">
        <v>640</v>
      </c>
      <c r="E139" t="s">
        <v>625</v>
      </c>
      <c r="F139" t="s">
        <v>599</v>
      </c>
      <c r="G139">
        <v>3</v>
      </c>
    </row>
    <row r="140" spans="1:7">
      <c r="A140" t="s">
        <v>644</v>
      </c>
      <c r="B140" t="s">
        <v>645</v>
      </c>
      <c r="C140" t="s">
        <v>646</v>
      </c>
      <c r="D140" t="s">
        <v>644</v>
      </c>
      <c r="E140" t="s">
        <v>647</v>
      </c>
      <c r="F140" t="s">
        <v>599</v>
      </c>
      <c r="G140">
        <v>2</v>
      </c>
    </row>
    <row r="141" spans="1:7">
      <c r="A141" t="s">
        <v>649</v>
      </c>
      <c r="B141" t="s">
        <v>650</v>
      </c>
      <c r="C141" t="s">
        <v>651</v>
      </c>
      <c r="D141" t="s">
        <v>649</v>
      </c>
      <c r="E141" t="s">
        <v>625</v>
      </c>
      <c r="F141" t="s">
        <v>599</v>
      </c>
      <c r="G141">
        <v>2</v>
      </c>
    </row>
    <row r="142" spans="1:7">
      <c r="A142" t="s">
        <v>653</v>
      </c>
      <c r="B142" t="s">
        <v>654</v>
      </c>
      <c r="C142" t="s">
        <v>655</v>
      </c>
      <c r="D142" t="s">
        <v>653</v>
      </c>
      <c r="E142" t="s">
        <v>625</v>
      </c>
      <c r="F142" t="s">
        <v>599</v>
      </c>
      <c r="G142">
        <v>3</v>
      </c>
    </row>
    <row r="143" spans="1:7">
      <c r="A143" t="s">
        <v>657</v>
      </c>
      <c r="B143" t="s">
        <v>658</v>
      </c>
      <c r="C143" t="s">
        <v>659</v>
      </c>
      <c r="D143" t="s">
        <v>657</v>
      </c>
      <c r="E143" t="s">
        <v>625</v>
      </c>
      <c r="F143" t="s">
        <v>599</v>
      </c>
      <c r="G143">
        <v>3</v>
      </c>
    </row>
    <row r="144" spans="1:7">
      <c r="A144" t="s">
        <v>661</v>
      </c>
      <c r="B144" t="s">
        <v>662</v>
      </c>
      <c r="C144" t="s">
        <v>663</v>
      </c>
      <c r="D144" t="s">
        <v>661</v>
      </c>
      <c r="E144" t="s">
        <v>664</v>
      </c>
      <c r="F144" t="s">
        <v>599</v>
      </c>
      <c r="G144">
        <v>1</v>
      </c>
    </row>
    <row r="145" spans="1:7">
      <c r="A145" t="s">
        <v>666</v>
      </c>
      <c r="B145" t="s">
        <v>667</v>
      </c>
      <c r="C145" t="s">
        <v>668</v>
      </c>
      <c r="D145" t="s">
        <v>666</v>
      </c>
      <c r="E145" t="s">
        <v>669</v>
      </c>
      <c r="F145" t="s">
        <v>599</v>
      </c>
      <c r="G145">
        <v>3</v>
      </c>
    </row>
    <row r="146" spans="1:7">
      <c r="A146" t="s">
        <v>671</v>
      </c>
      <c r="B146" t="s">
        <v>672</v>
      </c>
      <c r="C146" t="s">
        <v>672</v>
      </c>
      <c r="D146" t="s">
        <v>671</v>
      </c>
      <c r="E146" t="s">
        <v>673</v>
      </c>
      <c r="F146" t="s">
        <v>599</v>
      </c>
      <c r="G146">
        <v>1</v>
      </c>
    </row>
    <row r="147" spans="1:7">
      <c r="A147" t="s">
        <v>676</v>
      </c>
      <c r="B147" t="s">
        <v>677</v>
      </c>
      <c r="C147" t="s">
        <v>678</v>
      </c>
      <c r="D147" t="s">
        <v>676</v>
      </c>
      <c r="E147" t="s">
        <v>679</v>
      </c>
      <c r="F147" t="s">
        <v>599</v>
      </c>
      <c r="G147">
        <v>3</v>
      </c>
    </row>
    <row r="148" spans="1:7">
      <c r="A148" t="s">
        <v>681</v>
      </c>
      <c r="B148" t="s">
        <v>682</v>
      </c>
      <c r="C148" t="s">
        <v>683</v>
      </c>
      <c r="D148" t="s">
        <v>681</v>
      </c>
      <c r="E148" t="s">
        <v>679</v>
      </c>
      <c r="F148" t="s">
        <v>599</v>
      </c>
      <c r="G148">
        <v>3</v>
      </c>
    </row>
    <row r="149" spans="1:7">
      <c r="A149" t="s">
        <v>685</v>
      </c>
      <c r="B149" t="s">
        <v>686</v>
      </c>
      <c r="C149" t="s">
        <v>687</v>
      </c>
      <c r="D149" t="s">
        <v>685</v>
      </c>
      <c r="E149" t="s">
        <v>679</v>
      </c>
      <c r="F149" t="s">
        <v>599</v>
      </c>
      <c r="G149">
        <v>3</v>
      </c>
    </row>
    <row r="150" spans="1:7">
      <c r="A150" t="s">
        <v>688</v>
      </c>
      <c r="B150" t="s">
        <v>690</v>
      </c>
      <c r="C150" t="s">
        <v>690</v>
      </c>
      <c r="D150" t="s">
        <v>688</v>
      </c>
      <c r="E150" t="s">
        <v>679</v>
      </c>
      <c r="F150" t="s">
        <v>599</v>
      </c>
      <c r="G150">
        <v>3</v>
      </c>
    </row>
    <row r="151" spans="1:7">
      <c r="A151" t="s">
        <v>692</v>
      </c>
      <c r="B151" t="s">
        <v>693</v>
      </c>
      <c r="C151" t="s">
        <v>694</v>
      </c>
      <c r="D151" t="s">
        <v>692</v>
      </c>
      <c r="E151" t="s">
        <v>679</v>
      </c>
      <c r="F151" t="s">
        <v>599</v>
      </c>
      <c r="G151">
        <v>2</v>
      </c>
    </row>
    <row r="152" spans="1:7">
      <c r="A152" t="s">
        <v>696</v>
      </c>
      <c r="B152" t="s">
        <v>697</v>
      </c>
      <c r="C152" t="s">
        <v>698</v>
      </c>
      <c r="D152" t="s">
        <v>696</v>
      </c>
      <c r="E152" t="s">
        <v>679</v>
      </c>
      <c r="F152" t="s">
        <v>599</v>
      </c>
      <c r="G152">
        <v>3</v>
      </c>
    </row>
    <row r="153" spans="1:7">
      <c r="A153" t="s">
        <v>700</v>
      </c>
      <c r="B153" t="s">
        <v>701</v>
      </c>
      <c r="C153" t="s">
        <v>701</v>
      </c>
      <c r="D153" t="s">
        <v>700</v>
      </c>
      <c r="E153" t="s">
        <v>679</v>
      </c>
      <c r="F153" t="s">
        <v>599</v>
      </c>
      <c r="G153">
        <v>3</v>
      </c>
    </row>
    <row r="154" spans="1:7">
      <c r="A154" t="s">
        <v>703</v>
      </c>
      <c r="B154" t="s">
        <v>704</v>
      </c>
      <c r="C154" t="s">
        <v>705</v>
      </c>
      <c r="D154" t="s">
        <v>703</v>
      </c>
      <c r="E154" t="s">
        <v>679</v>
      </c>
      <c r="F154" t="s">
        <v>599</v>
      </c>
      <c r="G154">
        <v>2</v>
      </c>
    </row>
    <row r="155" spans="1:7">
      <c r="A155" t="s">
        <v>707</v>
      </c>
      <c r="B155" t="s">
        <v>708</v>
      </c>
      <c r="C155" t="s">
        <v>709</v>
      </c>
      <c r="D155" t="s">
        <v>707</v>
      </c>
      <c r="E155" t="s">
        <v>679</v>
      </c>
      <c r="F155" t="s">
        <v>599</v>
      </c>
      <c r="G155">
        <v>3</v>
      </c>
    </row>
    <row r="156" spans="1:7">
      <c r="A156" s="3" t="s">
        <v>711</v>
      </c>
      <c r="B156" s="3" t="s">
        <v>712</v>
      </c>
      <c r="C156" s="3" t="s">
        <v>713</v>
      </c>
      <c r="D156" s="3" t="s">
        <v>711</v>
      </c>
      <c r="E156" s="3" t="s">
        <v>714</v>
      </c>
      <c r="F156" s="3" t="s">
        <v>599</v>
      </c>
      <c r="G156">
        <v>3</v>
      </c>
    </row>
    <row r="157" spans="1:7">
      <c r="A157" t="s">
        <v>716</v>
      </c>
      <c r="B157" t="s">
        <v>717</v>
      </c>
      <c r="C157" t="s">
        <v>718</v>
      </c>
      <c r="D157" t="s">
        <v>716</v>
      </c>
      <c r="E157" t="s">
        <v>714</v>
      </c>
      <c r="F157" t="s">
        <v>599</v>
      </c>
      <c r="G157">
        <v>1</v>
      </c>
    </row>
    <row r="158" spans="1:7">
      <c r="A158" t="s">
        <v>721</v>
      </c>
      <c r="B158" t="s">
        <v>722</v>
      </c>
      <c r="C158" t="s">
        <v>722</v>
      </c>
      <c r="D158" t="s">
        <v>721</v>
      </c>
      <c r="E158" t="s">
        <v>714</v>
      </c>
      <c r="F158" t="s">
        <v>599</v>
      </c>
      <c r="G158">
        <v>3</v>
      </c>
    </row>
    <row r="159" spans="1:7">
      <c r="A159" t="s">
        <v>724</v>
      </c>
      <c r="B159" t="s">
        <v>725</v>
      </c>
      <c r="C159" t="s">
        <v>726</v>
      </c>
      <c r="D159" t="s">
        <v>724</v>
      </c>
      <c r="E159" t="s">
        <v>714</v>
      </c>
      <c r="F159" t="s">
        <v>599</v>
      </c>
      <c r="G159">
        <v>3</v>
      </c>
    </row>
    <row r="160" spans="1:7">
      <c r="A160" t="s">
        <v>728</v>
      </c>
      <c r="B160" t="s">
        <v>729</v>
      </c>
      <c r="C160" t="s">
        <v>729</v>
      </c>
      <c r="D160" t="s">
        <v>728</v>
      </c>
      <c r="E160" t="s">
        <v>714</v>
      </c>
      <c r="F160" t="s">
        <v>599</v>
      </c>
      <c r="G160">
        <v>3</v>
      </c>
    </row>
    <row r="161" spans="1:7">
      <c r="A161" t="s">
        <v>732</v>
      </c>
      <c r="B161" t="s">
        <v>733</v>
      </c>
      <c r="C161" t="s">
        <v>734</v>
      </c>
      <c r="D161" t="s">
        <v>732</v>
      </c>
      <c r="E161" t="s">
        <v>714</v>
      </c>
      <c r="F161" t="s">
        <v>599</v>
      </c>
      <c r="G161">
        <v>1</v>
      </c>
    </row>
    <row r="162" spans="1:7">
      <c r="A162" t="s">
        <v>736</v>
      </c>
      <c r="B162" t="s">
        <v>737</v>
      </c>
      <c r="C162" t="s">
        <v>738</v>
      </c>
      <c r="D162" t="s">
        <v>736</v>
      </c>
      <c r="E162" t="s">
        <v>739</v>
      </c>
      <c r="F162" t="s">
        <v>599</v>
      </c>
      <c r="G162">
        <v>3</v>
      </c>
    </row>
    <row r="163" spans="1:7">
      <c r="A163" t="s">
        <v>742</v>
      </c>
      <c r="B163" t="s">
        <v>743</v>
      </c>
      <c r="C163" t="s">
        <v>744</v>
      </c>
      <c r="D163" t="s">
        <v>742</v>
      </c>
      <c r="E163" t="s">
        <v>739</v>
      </c>
      <c r="F163" t="s">
        <v>599</v>
      </c>
      <c r="G163">
        <v>3</v>
      </c>
    </row>
    <row r="164" spans="1:7">
      <c r="A164" t="s">
        <v>746</v>
      </c>
      <c r="B164" t="s">
        <v>747</v>
      </c>
      <c r="C164" t="s">
        <v>748</v>
      </c>
      <c r="D164" t="s">
        <v>746</v>
      </c>
      <c r="E164" t="s">
        <v>739</v>
      </c>
      <c r="F164" t="s">
        <v>599</v>
      </c>
      <c r="G164">
        <v>3</v>
      </c>
    </row>
    <row r="165" spans="1:7">
      <c r="A165" t="s">
        <v>750</v>
      </c>
      <c r="B165" t="s">
        <v>751</v>
      </c>
      <c r="C165" t="s">
        <v>752</v>
      </c>
      <c r="D165" t="s">
        <v>750</v>
      </c>
      <c r="E165" t="s">
        <v>753</v>
      </c>
      <c r="F165" t="s">
        <v>599</v>
      </c>
      <c r="G165">
        <v>3</v>
      </c>
    </row>
    <row r="166" spans="1:7">
      <c r="A166" s="3" t="s">
        <v>755</v>
      </c>
      <c r="B166" s="3" t="s">
        <v>756</v>
      </c>
      <c r="C166" s="3" t="s">
        <v>757</v>
      </c>
      <c r="D166" s="3" t="s">
        <v>755</v>
      </c>
      <c r="E166" s="3" t="s">
        <v>753</v>
      </c>
      <c r="F166" s="3" t="s">
        <v>599</v>
      </c>
      <c r="G166">
        <v>3</v>
      </c>
    </row>
    <row r="167" spans="1:7">
      <c r="A167" t="s">
        <v>759</v>
      </c>
      <c r="B167" t="s">
        <v>760</v>
      </c>
      <c r="C167" t="s">
        <v>761</v>
      </c>
      <c r="D167" t="s">
        <v>759</v>
      </c>
      <c r="E167" t="s">
        <v>753</v>
      </c>
      <c r="F167" t="s">
        <v>599</v>
      </c>
      <c r="G167">
        <v>3</v>
      </c>
    </row>
    <row r="168" spans="1:7">
      <c r="A168" t="s">
        <v>763</v>
      </c>
      <c r="B168" t="s">
        <v>764</v>
      </c>
      <c r="C168" t="s">
        <v>765</v>
      </c>
      <c r="D168" t="s">
        <v>763</v>
      </c>
      <c r="E168" t="s">
        <v>753</v>
      </c>
      <c r="F168" t="s">
        <v>599</v>
      </c>
      <c r="G168">
        <v>3</v>
      </c>
    </row>
    <row r="169" spans="1:7">
      <c r="A169" t="s">
        <v>767</v>
      </c>
      <c r="B169" t="s">
        <v>768</v>
      </c>
      <c r="C169" t="s">
        <v>769</v>
      </c>
      <c r="D169" t="s">
        <v>767</v>
      </c>
      <c r="E169" t="s">
        <v>753</v>
      </c>
      <c r="F169" t="s">
        <v>599</v>
      </c>
      <c r="G169">
        <v>3</v>
      </c>
    </row>
    <row r="170" spans="1:7">
      <c r="A170" t="s">
        <v>771</v>
      </c>
      <c r="B170" t="s">
        <v>772</v>
      </c>
      <c r="C170" t="s">
        <v>773</v>
      </c>
      <c r="D170" t="s">
        <v>771</v>
      </c>
      <c r="E170" t="s">
        <v>753</v>
      </c>
      <c r="F170" t="s">
        <v>599</v>
      </c>
      <c r="G170">
        <v>3</v>
      </c>
    </row>
    <row r="171" spans="1:7">
      <c r="A171" t="s">
        <v>776</v>
      </c>
      <c r="B171" t="s">
        <v>777</v>
      </c>
      <c r="C171" t="s">
        <v>778</v>
      </c>
      <c r="D171" t="s">
        <v>776</v>
      </c>
      <c r="E171" t="s">
        <v>779</v>
      </c>
      <c r="F171" t="s">
        <v>599</v>
      </c>
      <c r="G171">
        <v>3</v>
      </c>
    </row>
    <row r="172" spans="1:7">
      <c r="A172" t="s">
        <v>781</v>
      </c>
      <c r="B172" t="s">
        <v>782</v>
      </c>
      <c r="C172" t="s">
        <v>783</v>
      </c>
      <c r="D172" t="s">
        <v>781</v>
      </c>
      <c r="E172" t="s">
        <v>779</v>
      </c>
      <c r="F172" t="s">
        <v>599</v>
      </c>
      <c r="G172">
        <v>3</v>
      </c>
    </row>
    <row r="173" spans="1:7">
      <c r="A173" t="s">
        <v>785</v>
      </c>
      <c r="B173" t="s">
        <v>786</v>
      </c>
      <c r="C173" t="s">
        <v>787</v>
      </c>
      <c r="D173" t="s">
        <v>785</v>
      </c>
      <c r="E173" t="s">
        <v>779</v>
      </c>
      <c r="F173" t="s">
        <v>599</v>
      </c>
      <c r="G173">
        <v>3</v>
      </c>
    </row>
    <row r="174" spans="1:7">
      <c r="A174" t="s">
        <v>789</v>
      </c>
      <c r="B174" t="s">
        <v>790</v>
      </c>
      <c r="C174" t="s">
        <v>791</v>
      </c>
      <c r="D174" t="s">
        <v>789</v>
      </c>
      <c r="E174" t="s">
        <v>779</v>
      </c>
      <c r="F174" t="s">
        <v>599</v>
      </c>
      <c r="G174">
        <v>3</v>
      </c>
    </row>
    <row r="175" spans="1:7">
      <c r="A175" t="s">
        <v>793</v>
      </c>
      <c r="B175" t="s">
        <v>794</v>
      </c>
      <c r="C175" t="s">
        <v>795</v>
      </c>
      <c r="D175" t="s">
        <v>793</v>
      </c>
      <c r="E175" t="s">
        <v>779</v>
      </c>
      <c r="F175" t="s">
        <v>599</v>
      </c>
      <c r="G175">
        <v>3</v>
      </c>
    </row>
    <row r="176" spans="1:7">
      <c r="A176" t="s">
        <v>797</v>
      </c>
      <c r="B176" t="s">
        <v>798</v>
      </c>
      <c r="C176" t="s">
        <v>799</v>
      </c>
      <c r="D176" t="s">
        <v>797</v>
      </c>
      <c r="E176" t="s">
        <v>800</v>
      </c>
      <c r="F176" t="s">
        <v>599</v>
      </c>
      <c r="G176">
        <v>3</v>
      </c>
    </row>
    <row r="177" spans="1:7">
      <c r="A177" t="s">
        <v>802</v>
      </c>
      <c r="B177" t="s">
        <v>803</v>
      </c>
      <c r="C177" t="s">
        <v>804</v>
      </c>
      <c r="D177" t="s">
        <v>802</v>
      </c>
      <c r="E177" t="s">
        <v>800</v>
      </c>
      <c r="F177" t="s">
        <v>599</v>
      </c>
      <c r="G177">
        <v>3</v>
      </c>
    </row>
    <row r="178" spans="1:7">
      <c r="A178" t="s">
        <v>806</v>
      </c>
      <c r="B178" t="s">
        <v>807</v>
      </c>
      <c r="C178" t="s">
        <v>808</v>
      </c>
      <c r="D178" t="s">
        <v>806</v>
      </c>
      <c r="E178" t="s">
        <v>800</v>
      </c>
      <c r="F178" t="s">
        <v>599</v>
      </c>
      <c r="G178">
        <v>3</v>
      </c>
    </row>
    <row r="179" spans="1:7">
      <c r="A179" t="s">
        <v>810</v>
      </c>
      <c r="B179" t="s">
        <v>811</v>
      </c>
      <c r="C179" t="s">
        <v>812</v>
      </c>
      <c r="D179" t="s">
        <v>810</v>
      </c>
      <c r="E179" t="s">
        <v>800</v>
      </c>
      <c r="F179" t="s">
        <v>599</v>
      </c>
      <c r="G179">
        <v>3</v>
      </c>
    </row>
    <row r="180" spans="1:7">
      <c r="A180" t="s">
        <v>814</v>
      </c>
      <c r="B180" t="s">
        <v>815</v>
      </c>
      <c r="C180" t="s">
        <v>815</v>
      </c>
      <c r="D180" t="s">
        <v>814</v>
      </c>
      <c r="E180" t="s">
        <v>816</v>
      </c>
      <c r="F180" t="s">
        <v>599</v>
      </c>
      <c r="G180">
        <v>3</v>
      </c>
    </row>
    <row r="181" spans="1:7">
      <c r="A181" t="s">
        <v>819</v>
      </c>
      <c r="B181" t="s">
        <v>820</v>
      </c>
      <c r="C181" t="s">
        <v>821</v>
      </c>
      <c r="D181" t="s">
        <v>819</v>
      </c>
      <c r="E181" t="s">
        <v>816</v>
      </c>
      <c r="F181" t="s">
        <v>599</v>
      </c>
      <c r="G181">
        <v>3</v>
      </c>
    </row>
    <row r="182" spans="1:7">
      <c r="A182" t="s">
        <v>823</v>
      </c>
      <c r="B182" t="s">
        <v>824</v>
      </c>
      <c r="C182" t="s">
        <v>825</v>
      </c>
      <c r="D182" t="s">
        <v>823</v>
      </c>
      <c r="E182" t="s">
        <v>679</v>
      </c>
      <c r="F182" t="s">
        <v>599</v>
      </c>
      <c r="G182">
        <v>3</v>
      </c>
    </row>
    <row r="183" spans="1:7">
      <c r="A183" t="s">
        <v>828</v>
      </c>
      <c r="B183" t="s">
        <v>829</v>
      </c>
      <c r="C183" t="s">
        <v>830</v>
      </c>
      <c r="D183" t="s">
        <v>828</v>
      </c>
      <c r="E183" t="s">
        <v>679</v>
      </c>
      <c r="F183" t="s">
        <v>599</v>
      </c>
      <c r="G183">
        <v>3</v>
      </c>
    </row>
    <row r="184" spans="1:7">
      <c r="A184" s="3" t="s">
        <v>832</v>
      </c>
      <c r="B184" s="3" t="s">
        <v>833</v>
      </c>
      <c r="C184" s="3" t="s">
        <v>834</v>
      </c>
      <c r="D184" s="3" t="s">
        <v>832</v>
      </c>
      <c r="E184" s="3" t="s">
        <v>679</v>
      </c>
      <c r="F184" s="3" t="s">
        <v>599</v>
      </c>
      <c r="G184">
        <v>3</v>
      </c>
    </row>
    <row r="185" spans="1:7">
      <c r="A185" t="s">
        <v>836</v>
      </c>
      <c r="B185" t="s">
        <v>837</v>
      </c>
      <c r="C185" t="s">
        <v>838</v>
      </c>
      <c r="D185" t="s">
        <v>836</v>
      </c>
      <c r="E185" t="s">
        <v>679</v>
      </c>
      <c r="F185" t="s">
        <v>599</v>
      </c>
      <c r="G185">
        <v>3</v>
      </c>
    </row>
    <row r="186" spans="1:7">
      <c r="A186" t="s">
        <v>840</v>
      </c>
      <c r="B186" t="s">
        <v>841</v>
      </c>
      <c r="C186" t="s">
        <v>842</v>
      </c>
      <c r="D186" t="s">
        <v>840</v>
      </c>
      <c r="E186" t="s">
        <v>843</v>
      </c>
      <c r="F186" t="s">
        <v>599</v>
      </c>
      <c r="G186">
        <v>2</v>
      </c>
    </row>
    <row r="187" spans="1:7">
      <c r="A187" t="s">
        <v>846</v>
      </c>
      <c r="B187" t="s">
        <v>847</v>
      </c>
      <c r="C187" t="s">
        <v>848</v>
      </c>
      <c r="D187" t="s">
        <v>846</v>
      </c>
      <c r="E187" t="s">
        <v>849</v>
      </c>
      <c r="F187" t="s">
        <v>599</v>
      </c>
      <c r="G187">
        <v>1</v>
      </c>
    </row>
    <row r="188" spans="1:7">
      <c r="A188" t="s">
        <v>851</v>
      </c>
      <c r="B188" t="s">
        <v>852</v>
      </c>
      <c r="C188" t="s">
        <v>853</v>
      </c>
      <c r="D188" t="s">
        <v>851</v>
      </c>
      <c r="E188" t="s">
        <v>854</v>
      </c>
      <c r="F188" t="s">
        <v>599</v>
      </c>
      <c r="G188">
        <v>1</v>
      </c>
    </row>
    <row r="189" spans="1:7">
      <c r="A189" t="s">
        <v>856</v>
      </c>
      <c r="B189" t="s">
        <v>857</v>
      </c>
      <c r="C189" t="s">
        <v>858</v>
      </c>
      <c r="D189" t="s">
        <v>856</v>
      </c>
      <c r="E189" t="s">
        <v>854</v>
      </c>
      <c r="F189" t="s">
        <v>599</v>
      </c>
      <c r="G189">
        <v>1</v>
      </c>
    </row>
    <row r="190" spans="1:7">
      <c r="A190" t="s">
        <v>860</v>
      </c>
      <c r="B190" t="s">
        <v>861</v>
      </c>
      <c r="C190" t="s">
        <v>862</v>
      </c>
      <c r="D190" t="s">
        <v>860</v>
      </c>
      <c r="E190" t="s">
        <v>854</v>
      </c>
      <c r="F190" t="s">
        <v>599</v>
      </c>
      <c r="G190">
        <v>1</v>
      </c>
    </row>
    <row r="191" spans="1:7">
      <c r="A191" t="s">
        <v>864</v>
      </c>
      <c r="B191" t="s">
        <v>865</v>
      </c>
      <c r="C191" t="s">
        <v>866</v>
      </c>
      <c r="D191" t="s">
        <v>864</v>
      </c>
      <c r="E191" t="s">
        <v>854</v>
      </c>
      <c r="F191" t="s">
        <v>599</v>
      </c>
      <c r="G191">
        <v>1</v>
      </c>
    </row>
    <row r="192" spans="1:7">
      <c r="A192" t="s">
        <v>868</v>
      </c>
      <c r="B192" t="s">
        <v>869</v>
      </c>
      <c r="C192" t="s">
        <v>870</v>
      </c>
      <c r="D192" t="s">
        <v>868</v>
      </c>
      <c r="E192" t="s">
        <v>854</v>
      </c>
      <c r="F192" t="s">
        <v>599</v>
      </c>
      <c r="G192">
        <v>1</v>
      </c>
    </row>
    <row r="193" spans="1:7">
      <c r="A193" t="s">
        <v>872</v>
      </c>
      <c r="B193" t="s">
        <v>873</v>
      </c>
      <c r="C193" t="s">
        <v>874</v>
      </c>
      <c r="D193" t="s">
        <v>872</v>
      </c>
      <c r="E193" t="s">
        <v>854</v>
      </c>
      <c r="F193" t="s">
        <v>599</v>
      </c>
      <c r="G193">
        <v>1</v>
      </c>
    </row>
    <row r="194" spans="1:7">
      <c r="A194" t="s">
        <v>876</v>
      </c>
      <c r="B194" t="s">
        <v>877</v>
      </c>
      <c r="C194" t="s">
        <v>878</v>
      </c>
      <c r="D194" t="s">
        <v>876</v>
      </c>
      <c r="E194" t="s">
        <v>879</v>
      </c>
      <c r="F194" t="s">
        <v>599</v>
      </c>
      <c r="G194">
        <v>1</v>
      </c>
    </row>
    <row r="195" spans="1:7">
      <c r="A195" t="s">
        <v>881</v>
      </c>
      <c r="B195" t="s">
        <v>882</v>
      </c>
      <c r="C195" t="s">
        <v>883</v>
      </c>
      <c r="D195" t="s">
        <v>881</v>
      </c>
      <c r="E195" t="s">
        <v>884</v>
      </c>
      <c r="F195" t="s">
        <v>599</v>
      </c>
      <c r="G195">
        <v>1</v>
      </c>
    </row>
    <row r="196" spans="1:7">
      <c r="A196" t="s">
        <v>886</v>
      </c>
      <c r="B196" t="s">
        <v>887</v>
      </c>
      <c r="C196" t="s">
        <v>888</v>
      </c>
      <c r="D196" t="s">
        <v>886</v>
      </c>
      <c r="E196" t="s">
        <v>884</v>
      </c>
      <c r="F196" t="s">
        <v>599</v>
      </c>
      <c r="G196">
        <v>1</v>
      </c>
    </row>
    <row r="197" spans="1:7">
      <c r="A197" t="s">
        <v>890</v>
      </c>
      <c r="B197" t="s">
        <v>891</v>
      </c>
      <c r="C197" t="s">
        <v>892</v>
      </c>
      <c r="D197" t="s">
        <v>890</v>
      </c>
      <c r="E197" t="s">
        <v>893</v>
      </c>
      <c r="F197" t="s">
        <v>599</v>
      </c>
      <c r="G197">
        <v>3</v>
      </c>
    </row>
    <row r="198" spans="1:7">
      <c r="A198" t="s">
        <v>895</v>
      </c>
      <c r="B198" t="s">
        <v>896</v>
      </c>
      <c r="C198" t="s">
        <v>897</v>
      </c>
      <c r="D198" t="s">
        <v>895</v>
      </c>
      <c r="E198" t="s">
        <v>898</v>
      </c>
      <c r="F198" t="s">
        <v>599</v>
      </c>
      <c r="G198">
        <v>3</v>
      </c>
    </row>
    <row r="199" spans="1:7">
      <c r="A199" t="s">
        <v>901</v>
      </c>
      <c r="B199" t="s">
        <v>902</v>
      </c>
      <c r="C199" t="s">
        <v>903</v>
      </c>
      <c r="D199" t="s">
        <v>901</v>
      </c>
      <c r="E199" t="s">
        <v>904</v>
      </c>
      <c r="F199" t="s">
        <v>599</v>
      </c>
      <c r="G199">
        <v>3</v>
      </c>
    </row>
    <row r="200" spans="1:7">
      <c r="A200" t="s">
        <v>907</v>
      </c>
      <c r="B200" t="s">
        <v>908</v>
      </c>
      <c r="C200" t="s">
        <v>909</v>
      </c>
      <c r="D200" t="s">
        <v>907</v>
      </c>
      <c r="E200" t="s">
        <v>904</v>
      </c>
      <c r="F200" t="s">
        <v>599</v>
      </c>
      <c r="G200">
        <v>3</v>
      </c>
    </row>
    <row r="201" spans="1:7">
      <c r="A201" t="s">
        <v>911</v>
      </c>
      <c r="B201" t="s">
        <v>912</v>
      </c>
      <c r="C201" t="s">
        <v>913</v>
      </c>
      <c r="D201" t="s">
        <v>911</v>
      </c>
      <c r="E201" t="s">
        <v>647</v>
      </c>
      <c r="F201" t="s">
        <v>599</v>
      </c>
      <c r="G201">
        <v>2</v>
      </c>
    </row>
    <row r="202" spans="1:7">
      <c r="A202" t="s">
        <v>916</v>
      </c>
      <c r="B202" t="s">
        <v>917</v>
      </c>
      <c r="C202" t="s">
        <v>918</v>
      </c>
      <c r="D202" t="s">
        <v>916</v>
      </c>
      <c r="E202" t="s">
        <v>647</v>
      </c>
      <c r="F202" t="s">
        <v>599</v>
      </c>
      <c r="G202">
        <v>1</v>
      </c>
    </row>
    <row r="203" spans="1:7">
      <c r="A203" t="s">
        <v>920</v>
      </c>
      <c r="B203" t="s">
        <v>921</v>
      </c>
      <c r="C203" t="s">
        <v>922</v>
      </c>
      <c r="D203" t="s">
        <v>920</v>
      </c>
      <c r="E203" t="s">
        <v>647</v>
      </c>
      <c r="F203" t="s">
        <v>599</v>
      </c>
      <c r="G203">
        <v>2</v>
      </c>
    </row>
    <row r="204" spans="1:7">
      <c r="A204" t="s">
        <v>924</v>
      </c>
      <c r="B204" t="s">
        <v>925</v>
      </c>
      <c r="C204" t="s">
        <v>926</v>
      </c>
      <c r="D204" t="s">
        <v>924</v>
      </c>
      <c r="E204" t="s">
        <v>625</v>
      </c>
      <c r="F204" t="s">
        <v>599</v>
      </c>
      <c r="G204">
        <v>3</v>
      </c>
    </row>
    <row r="205" spans="1:7">
      <c r="A205" t="s">
        <v>928</v>
      </c>
      <c r="B205" t="s">
        <v>929</v>
      </c>
      <c r="C205" t="s">
        <v>929</v>
      </c>
      <c r="D205" t="s">
        <v>928</v>
      </c>
      <c r="E205" t="s">
        <v>647</v>
      </c>
      <c r="F205" t="s">
        <v>599</v>
      </c>
      <c r="G205">
        <v>1</v>
      </c>
    </row>
    <row r="206" spans="1:7">
      <c r="A206" t="s">
        <v>931</v>
      </c>
      <c r="B206" t="s">
        <v>932</v>
      </c>
      <c r="C206" t="s">
        <v>933</v>
      </c>
      <c r="D206" t="s">
        <v>931</v>
      </c>
      <c r="E206" t="s">
        <v>647</v>
      </c>
      <c r="F206" t="s">
        <v>599</v>
      </c>
      <c r="G206">
        <v>1</v>
      </c>
    </row>
    <row r="207" spans="1:7">
      <c r="A207" t="s">
        <v>935</v>
      </c>
      <c r="B207" t="s">
        <v>936</v>
      </c>
      <c r="C207" t="s">
        <v>937</v>
      </c>
      <c r="D207" t="s">
        <v>935</v>
      </c>
      <c r="E207" t="s">
        <v>647</v>
      </c>
      <c r="F207" t="s">
        <v>599</v>
      </c>
      <c r="G207">
        <v>1</v>
      </c>
    </row>
    <row r="208" spans="1:7">
      <c r="A208" t="s">
        <v>939</v>
      </c>
      <c r="B208" t="s">
        <v>940</v>
      </c>
      <c r="C208" t="s">
        <v>941</v>
      </c>
      <c r="D208" t="s">
        <v>939</v>
      </c>
      <c r="E208" t="s">
        <v>647</v>
      </c>
      <c r="F208" t="s">
        <v>599</v>
      </c>
      <c r="G208">
        <v>2</v>
      </c>
    </row>
    <row r="209" spans="1:7">
      <c r="A209" t="s">
        <v>943</v>
      </c>
      <c r="B209" t="s">
        <v>944</v>
      </c>
      <c r="C209" t="s">
        <v>945</v>
      </c>
      <c r="D209" t="s">
        <v>943</v>
      </c>
      <c r="E209" t="s">
        <v>946</v>
      </c>
      <c r="F209" t="s">
        <v>599</v>
      </c>
      <c r="G209">
        <v>2</v>
      </c>
    </row>
    <row r="210" spans="1:7">
      <c r="A210" t="s">
        <v>949</v>
      </c>
      <c r="B210" t="s">
        <v>950</v>
      </c>
      <c r="C210" t="s">
        <v>951</v>
      </c>
      <c r="D210" t="s">
        <v>949</v>
      </c>
      <c r="E210" t="s">
        <v>952</v>
      </c>
      <c r="F210" t="s">
        <v>599</v>
      </c>
      <c r="G210">
        <v>1</v>
      </c>
    </row>
    <row r="211" spans="1:7">
      <c r="A211" t="s">
        <v>955</v>
      </c>
      <c r="B211" t="s">
        <v>956</v>
      </c>
      <c r="C211" t="s">
        <v>957</v>
      </c>
      <c r="D211" t="s">
        <v>955</v>
      </c>
      <c r="E211" t="s">
        <v>952</v>
      </c>
      <c r="F211" t="s">
        <v>599</v>
      </c>
      <c r="G211">
        <v>1</v>
      </c>
    </row>
    <row r="212" spans="1:7">
      <c r="A212" t="s">
        <v>959</v>
      </c>
      <c r="B212" t="s">
        <v>960</v>
      </c>
      <c r="C212" t="s">
        <v>961</v>
      </c>
      <c r="D212" t="s">
        <v>959</v>
      </c>
      <c r="E212" t="s">
        <v>962</v>
      </c>
      <c r="F212" t="s">
        <v>599</v>
      </c>
      <c r="G212">
        <v>2</v>
      </c>
    </row>
    <row r="213" spans="1:7">
      <c r="A213" t="s">
        <v>964</v>
      </c>
      <c r="B213" t="s">
        <v>965</v>
      </c>
      <c r="C213" t="s">
        <v>965</v>
      </c>
      <c r="D213" t="s">
        <v>964</v>
      </c>
      <c r="E213" t="s">
        <v>962</v>
      </c>
      <c r="F213" t="s">
        <v>599</v>
      </c>
      <c r="G213">
        <v>3</v>
      </c>
    </row>
    <row r="214" spans="1:7">
      <c r="A214" t="s">
        <v>967</v>
      </c>
      <c r="B214" t="s">
        <v>968</v>
      </c>
      <c r="C214" t="s">
        <v>969</v>
      </c>
      <c r="D214" t="s">
        <v>967</v>
      </c>
      <c r="E214" t="s">
        <v>962</v>
      </c>
      <c r="F214" t="s">
        <v>599</v>
      </c>
      <c r="G214">
        <v>2</v>
      </c>
    </row>
    <row r="215" spans="1:7">
      <c r="A215" t="s">
        <v>971</v>
      </c>
      <c r="B215" t="s">
        <v>972</v>
      </c>
      <c r="C215" t="s">
        <v>973</v>
      </c>
      <c r="D215" t="s">
        <v>971</v>
      </c>
      <c r="E215" t="s">
        <v>962</v>
      </c>
      <c r="F215" t="s">
        <v>599</v>
      </c>
      <c r="G215">
        <v>1</v>
      </c>
    </row>
    <row r="216" spans="1:7">
      <c r="A216" t="s">
        <v>975</v>
      </c>
      <c r="B216" t="s">
        <v>976</v>
      </c>
      <c r="C216" t="s">
        <v>977</v>
      </c>
      <c r="D216" t="s">
        <v>975</v>
      </c>
      <c r="E216" t="s">
        <v>962</v>
      </c>
      <c r="F216" t="s">
        <v>599</v>
      </c>
      <c r="G216">
        <v>1</v>
      </c>
    </row>
    <row r="217" spans="1:7">
      <c r="A217" t="s">
        <v>979</v>
      </c>
      <c r="B217" t="s">
        <v>980</v>
      </c>
      <c r="C217" t="s">
        <v>981</v>
      </c>
      <c r="D217" t="s">
        <v>979</v>
      </c>
      <c r="E217" t="s">
        <v>962</v>
      </c>
      <c r="F217" t="s">
        <v>599</v>
      </c>
      <c r="G217">
        <v>1</v>
      </c>
    </row>
    <row r="218" spans="1:7">
      <c r="A218" t="s">
        <v>983</v>
      </c>
      <c r="B218" t="s">
        <v>984</v>
      </c>
      <c r="C218" t="s">
        <v>985</v>
      </c>
      <c r="D218" t="s">
        <v>983</v>
      </c>
      <c r="E218" t="s">
        <v>962</v>
      </c>
      <c r="F218" t="s">
        <v>599</v>
      </c>
      <c r="G218">
        <v>1</v>
      </c>
    </row>
    <row r="219" spans="1:7">
      <c r="A219" t="s">
        <v>987</v>
      </c>
      <c r="B219" t="s">
        <v>988</v>
      </c>
      <c r="C219" t="s">
        <v>989</v>
      </c>
      <c r="D219" t="s">
        <v>987</v>
      </c>
      <c r="E219" t="s">
        <v>962</v>
      </c>
      <c r="F219" t="s">
        <v>599</v>
      </c>
      <c r="G219">
        <v>2</v>
      </c>
    </row>
    <row r="220" spans="1:7">
      <c r="A220" s="3" t="s">
        <v>991</v>
      </c>
      <c r="B220" s="3" t="s">
        <v>992</v>
      </c>
      <c r="C220" s="3" t="s">
        <v>993</v>
      </c>
      <c r="D220" s="3" t="s">
        <v>991</v>
      </c>
      <c r="E220" s="3" t="s">
        <v>962</v>
      </c>
      <c r="F220" s="3" t="s">
        <v>599</v>
      </c>
      <c r="G220">
        <v>3</v>
      </c>
    </row>
    <row r="221" spans="1:7">
      <c r="A221" t="s">
        <v>995</v>
      </c>
      <c r="B221" t="s">
        <v>996</v>
      </c>
      <c r="C221" t="s">
        <v>997</v>
      </c>
      <c r="D221" t="s">
        <v>995</v>
      </c>
      <c r="E221" t="s">
        <v>962</v>
      </c>
      <c r="F221" t="s">
        <v>599</v>
      </c>
      <c r="G221">
        <v>2</v>
      </c>
    </row>
    <row r="222" spans="1:7">
      <c r="A222" t="s">
        <v>999</v>
      </c>
      <c r="B222" t="s">
        <v>1000</v>
      </c>
      <c r="C222" t="s">
        <v>1001</v>
      </c>
      <c r="D222" t="s">
        <v>999</v>
      </c>
      <c r="E222" t="s">
        <v>962</v>
      </c>
      <c r="F222" t="s">
        <v>599</v>
      </c>
      <c r="G222">
        <v>2</v>
      </c>
    </row>
    <row r="223" spans="1:7">
      <c r="A223" t="s">
        <v>1003</v>
      </c>
      <c r="B223" t="s">
        <v>1004</v>
      </c>
      <c r="C223" t="s">
        <v>1005</v>
      </c>
      <c r="D223" t="s">
        <v>1003</v>
      </c>
      <c r="E223" t="s">
        <v>962</v>
      </c>
      <c r="F223" t="s">
        <v>599</v>
      </c>
      <c r="G223">
        <v>3</v>
      </c>
    </row>
    <row r="224" spans="1:7">
      <c r="A224" t="s">
        <v>1007</v>
      </c>
      <c r="B224" t="s">
        <v>1008</v>
      </c>
      <c r="C224" t="s">
        <v>1009</v>
      </c>
      <c r="D224" t="s">
        <v>1007</v>
      </c>
      <c r="E224" t="s">
        <v>962</v>
      </c>
      <c r="F224" t="s">
        <v>599</v>
      </c>
      <c r="G224">
        <v>1</v>
      </c>
    </row>
    <row r="225" spans="1:7">
      <c r="A225" t="s">
        <v>1011</v>
      </c>
      <c r="B225" t="s">
        <v>1012</v>
      </c>
      <c r="C225" t="s">
        <v>1012</v>
      </c>
      <c r="D225" t="s">
        <v>1011</v>
      </c>
      <c r="E225" t="s">
        <v>962</v>
      </c>
      <c r="F225" t="s">
        <v>599</v>
      </c>
      <c r="G225">
        <v>2</v>
      </c>
    </row>
    <row r="226" spans="1:7">
      <c r="A226" t="s">
        <v>1014</v>
      </c>
      <c r="B226" t="s">
        <v>1015</v>
      </c>
      <c r="C226" t="s">
        <v>1015</v>
      </c>
      <c r="D226" t="s">
        <v>1014</v>
      </c>
      <c r="E226" t="s">
        <v>1016</v>
      </c>
      <c r="F226" t="s">
        <v>599</v>
      </c>
      <c r="G226">
        <v>2</v>
      </c>
    </row>
    <row r="227" spans="1:7">
      <c r="A227" s="1" t="s">
        <v>1019</v>
      </c>
      <c r="B227" s="1" t="s">
        <v>1020</v>
      </c>
      <c r="C227" s="1" t="s">
        <v>1021</v>
      </c>
      <c r="D227" s="1" t="s">
        <v>1019</v>
      </c>
      <c r="E227" s="1" t="s">
        <v>1016</v>
      </c>
      <c r="F227" s="1" t="s">
        <v>599</v>
      </c>
      <c r="G227">
        <v>3</v>
      </c>
    </row>
    <row r="228" spans="1:7">
      <c r="A228" t="s">
        <v>1023</v>
      </c>
      <c r="B228" t="s">
        <v>1024</v>
      </c>
      <c r="C228" t="s">
        <v>1025</v>
      </c>
      <c r="D228" t="s">
        <v>1023</v>
      </c>
      <c r="E228" t="s">
        <v>1016</v>
      </c>
      <c r="F228" t="s">
        <v>599</v>
      </c>
      <c r="G228">
        <v>2</v>
      </c>
    </row>
    <row r="229" spans="1:7">
      <c r="A229" t="s">
        <v>1027</v>
      </c>
      <c r="B229" t="s">
        <v>1028</v>
      </c>
      <c r="C229" t="s">
        <v>1029</v>
      </c>
      <c r="D229" t="s">
        <v>1027</v>
      </c>
      <c r="E229" t="s">
        <v>1016</v>
      </c>
      <c r="F229" t="s">
        <v>599</v>
      </c>
      <c r="G229">
        <v>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birdTraits-merged</vt:lpstr>
      <vt:lpstr>print</vt:lpstr>
      <vt:lpstr>Sheet1</vt:lpstr>
      <vt:lpstr>birdTraits-migration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Wessel Henric Gantvoort Mulder</cp:lastModifiedBy>
  <cp:lastPrinted>2025-10-30T12:37:58Z</cp:lastPrinted>
  <dcterms:created xsi:type="dcterms:W3CDTF">2025-05-05T14:14:19Z</dcterms:created>
  <dcterms:modified xsi:type="dcterms:W3CDTF">2025-10-30T12:38:19Z</dcterms:modified>
</cp:coreProperties>
</file>